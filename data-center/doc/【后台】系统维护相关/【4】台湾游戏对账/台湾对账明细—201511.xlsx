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12600" windowHeight="12135" activeTab="1"/>
  </bookViews>
  <sheets>
    <sheet name="说明" sheetId="2" r:id="rId1"/>
    <sheet name="数据—淘米方" sheetId="1" r:id="rId2"/>
    <sheet name="数据-对账后分成收入" sheetId="3" r:id="rId3"/>
  </sheets>
  <calcPr calcId="145621"/>
</workbook>
</file>

<file path=xl/calcChain.xml><?xml version="1.0" encoding="utf-8"?>
<calcChain xmlns="http://schemas.openxmlformats.org/spreadsheetml/2006/main">
  <c r="J106" i="1" l="1"/>
  <c r="J98" i="1"/>
  <c r="J67" i="1"/>
  <c r="J59" i="1"/>
  <c r="J51" i="1"/>
  <c r="J19" i="1"/>
  <c r="G60" i="3" l="1"/>
  <c r="H60" i="3"/>
  <c r="G61" i="3"/>
  <c r="H61" i="3"/>
  <c r="G62" i="3"/>
  <c r="H62" i="3"/>
  <c r="G63" i="3"/>
  <c r="H63" i="3"/>
  <c r="G64" i="3"/>
  <c r="H64" i="3"/>
  <c r="G50" i="3"/>
  <c r="H50" i="3"/>
  <c r="G51" i="3"/>
  <c r="H51" i="3"/>
  <c r="G52" i="3"/>
  <c r="H52" i="3"/>
  <c r="G53" i="3"/>
  <c r="H53" i="3"/>
  <c r="G54" i="3"/>
  <c r="H54" i="3"/>
  <c r="G29" i="3"/>
  <c r="H29" i="3"/>
  <c r="G30" i="3"/>
  <c r="H30" i="3"/>
  <c r="G31" i="3"/>
  <c r="H31" i="3"/>
  <c r="G32" i="3"/>
  <c r="H32" i="3"/>
  <c r="G33" i="3"/>
  <c r="H33" i="3"/>
  <c r="G17" i="3"/>
  <c r="H17" i="3"/>
  <c r="G19" i="3"/>
  <c r="H19" i="3"/>
  <c r="G20" i="3"/>
  <c r="H20" i="3"/>
  <c r="H21" i="3" s="1"/>
  <c r="H22" i="3" s="1"/>
  <c r="H23" i="3" s="1"/>
  <c r="G21" i="3"/>
  <c r="G22" i="3"/>
  <c r="G23" i="3"/>
  <c r="F43" i="3"/>
  <c r="H43" i="3"/>
  <c r="H37" i="3"/>
  <c r="H39" i="3"/>
  <c r="H40" i="3"/>
  <c r="H41" i="3" s="1"/>
  <c r="H42" i="3" l="1"/>
  <c r="I152" i="1"/>
  <c r="I153" i="1"/>
  <c r="I154" i="1" s="1"/>
  <c r="I147" i="1"/>
  <c r="I148" i="1"/>
  <c r="I149" i="1" s="1"/>
  <c r="I142" i="1"/>
  <c r="I143" i="1"/>
  <c r="I144" i="1" s="1"/>
  <c r="I137" i="1"/>
  <c r="I138" i="1"/>
  <c r="I139" i="1" s="1"/>
  <c r="I132" i="1"/>
  <c r="I133" i="1"/>
  <c r="I134" i="1" s="1"/>
  <c r="I124" i="1"/>
  <c r="I125" i="1"/>
  <c r="I126" i="1"/>
  <c r="I127" i="1"/>
  <c r="I128" i="1"/>
  <c r="I115" i="1"/>
  <c r="I116" i="1"/>
  <c r="I117" i="1"/>
  <c r="I118" i="1"/>
  <c r="I119" i="1"/>
  <c r="I91" i="1"/>
  <c r="I92" i="1"/>
  <c r="I93" i="1"/>
  <c r="I94" i="1"/>
  <c r="I95" i="1"/>
  <c r="I84" i="1"/>
  <c r="I85" i="1"/>
  <c r="I88" i="1" s="1"/>
  <c r="I86" i="1"/>
  <c r="I87" i="1"/>
  <c r="I76" i="1"/>
  <c r="I77" i="1"/>
  <c r="I80" i="1" s="1"/>
  <c r="I78" i="1"/>
  <c r="I79" i="1"/>
  <c r="I68" i="1"/>
  <c r="I69" i="1"/>
  <c r="I72" i="1" s="1"/>
  <c r="I70" i="1"/>
  <c r="I71" i="1"/>
  <c r="I60" i="1"/>
  <c r="I61" i="1"/>
  <c r="I62" i="1"/>
  <c r="I63" i="1"/>
  <c r="I64" i="1"/>
  <c r="I56" i="1"/>
  <c r="I55" i="1"/>
  <c r="I54" i="1"/>
  <c r="I53" i="1"/>
  <c r="I52" i="1"/>
  <c r="F98" i="1" l="1"/>
  <c r="G98" i="1"/>
  <c r="H98" i="1"/>
  <c r="E98" i="1"/>
  <c r="F143" i="1" l="1"/>
  <c r="F138" i="1"/>
  <c r="E138" i="1"/>
  <c r="F151" i="1"/>
  <c r="G151" i="1"/>
  <c r="H151" i="1"/>
  <c r="F146" i="1"/>
  <c r="G146" i="1"/>
  <c r="H146" i="1"/>
  <c r="F141" i="1"/>
  <c r="G141" i="1"/>
  <c r="H141" i="1"/>
  <c r="E151" i="1"/>
  <c r="E146" i="1"/>
  <c r="E141" i="1"/>
  <c r="F136" i="1"/>
  <c r="G136" i="1"/>
  <c r="H136" i="1"/>
  <c r="E136" i="1"/>
  <c r="F131" i="1"/>
  <c r="G131" i="1"/>
  <c r="H131" i="1"/>
  <c r="E131" i="1"/>
  <c r="H116" i="1"/>
  <c r="H138" i="1" s="1"/>
  <c r="H117" i="1"/>
  <c r="H143" i="1" s="1"/>
  <c r="H118" i="1"/>
  <c r="H148" i="1" s="1"/>
  <c r="H119" i="1"/>
  <c r="H153" i="1" s="1"/>
  <c r="G116" i="1"/>
  <c r="G138" i="1" s="1"/>
  <c r="G117" i="1"/>
  <c r="G143" i="1" s="1"/>
  <c r="G118" i="1"/>
  <c r="G148" i="1" s="1"/>
  <c r="G119" i="1"/>
  <c r="G153" i="1" s="1"/>
  <c r="F116" i="1"/>
  <c r="F117" i="1"/>
  <c r="F118" i="1"/>
  <c r="F148" i="1" s="1"/>
  <c r="F119" i="1"/>
  <c r="F153" i="1" s="1"/>
  <c r="E116" i="1"/>
  <c r="E117" i="1"/>
  <c r="E143" i="1" s="1"/>
  <c r="E118" i="1"/>
  <c r="E148" i="1" s="1"/>
  <c r="E119" i="1"/>
  <c r="E153" i="1" s="1"/>
  <c r="F90" i="1"/>
  <c r="G90" i="1"/>
  <c r="H90" i="1"/>
  <c r="E90" i="1"/>
  <c r="G52" i="1"/>
  <c r="F114" i="1"/>
  <c r="G114" i="1"/>
  <c r="H114" i="1"/>
  <c r="E114" i="1"/>
  <c r="H87" i="1"/>
  <c r="H86" i="1"/>
  <c r="H85" i="1"/>
  <c r="H84" i="1"/>
  <c r="F87" i="1"/>
  <c r="F86" i="1"/>
  <c r="F85" i="1"/>
  <c r="F84" i="1"/>
  <c r="E87" i="1"/>
  <c r="E86" i="1"/>
  <c r="E85" i="1"/>
  <c r="E84" i="1"/>
  <c r="H79" i="1"/>
  <c r="H78" i="1"/>
  <c r="H77" i="1"/>
  <c r="H76" i="1"/>
  <c r="F79" i="1"/>
  <c r="F78" i="1"/>
  <c r="F77" i="1"/>
  <c r="F76" i="1"/>
  <c r="E79" i="1"/>
  <c r="E78" i="1"/>
  <c r="E77" i="1"/>
  <c r="E76" i="1"/>
  <c r="H71" i="1"/>
  <c r="H70" i="1"/>
  <c r="H69" i="1"/>
  <c r="H68" i="1"/>
  <c r="F71" i="1"/>
  <c r="F70" i="1"/>
  <c r="F69" i="1"/>
  <c r="F68" i="1"/>
  <c r="E71" i="1"/>
  <c r="E70" i="1"/>
  <c r="E69" i="1"/>
  <c r="E68" i="1"/>
  <c r="H63" i="1"/>
  <c r="H62" i="1"/>
  <c r="H61" i="1"/>
  <c r="H60" i="1"/>
  <c r="F63" i="1"/>
  <c r="F62" i="1"/>
  <c r="F61" i="1"/>
  <c r="F60" i="1"/>
  <c r="E63" i="1"/>
  <c r="E62" i="1"/>
  <c r="E61" i="1"/>
  <c r="E60" i="1"/>
  <c r="H55" i="1"/>
  <c r="H54" i="1"/>
  <c r="H53" i="1"/>
  <c r="H52" i="1"/>
  <c r="F55" i="1"/>
  <c r="F54" i="1"/>
  <c r="F53" i="1"/>
  <c r="F52" i="1"/>
  <c r="E55" i="1"/>
  <c r="E54" i="1"/>
  <c r="E53" i="1"/>
  <c r="E52" i="1"/>
  <c r="E83" i="1"/>
  <c r="E43" i="1"/>
  <c r="E123" i="1"/>
  <c r="E75" i="1"/>
  <c r="E35" i="1"/>
  <c r="E67" i="1"/>
  <c r="E27" i="1"/>
  <c r="E59" i="1"/>
  <c r="F19" i="1"/>
  <c r="G19" i="1"/>
  <c r="H19" i="1"/>
  <c r="E19" i="1"/>
  <c r="G87" i="1"/>
  <c r="G86" i="1"/>
  <c r="G85" i="1"/>
  <c r="G84" i="1"/>
  <c r="G79" i="1"/>
  <c r="G78" i="1"/>
  <c r="G77" i="1"/>
  <c r="G76" i="1"/>
  <c r="G71" i="1"/>
  <c r="G70" i="1"/>
  <c r="G69" i="1"/>
  <c r="G68" i="1"/>
  <c r="G63" i="1"/>
  <c r="G62" i="1"/>
  <c r="G61" i="1"/>
  <c r="G60" i="1"/>
  <c r="G55" i="1"/>
  <c r="G54" i="1"/>
  <c r="G53" i="1"/>
  <c r="H83" i="1"/>
  <c r="G83" i="1"/>
  <c r="F83" i="1"/>
  <c r="H123" i="1"/>
  <c r="G123" i="1"/>
  <c r="F123" i="1"/>
  <c r="H75" i="1"/>
  <c r="G75" i="1"/>
  <c r="F75" i="1"/>
  <c r="H67" i="1"/>
  <c r="G67" i="1"/>
  <c r="F67" i="1"/>
  <c r="H56" i="1" l="1"/>
  <c r="H91" i="1" s="1"/>
  <c r="H132" i="1" s="1"/>
  <c r="G64" i="1"/>
  <c r="G92" i="1" s="1"/>
  <c r="G72" i="1"/>
  <c r="G93" i="1" s="1"/>
  <c r="G142" i="1" s="1"/>
  <c r="E56" i="1"/>
  <c r="E91" i="1" s="1"/>
  <c r="F56" i="1"/>
  <c r="F91" i="1" s="1"/>
  <c r="G144" i="1"/>
  <c r="G126" i="1"/>
  <c r="F37" i="3" s="1"/>
  <c r="F39" i="3" s="1"/>
  <c r="F40" i="3" s="1"/>
  <c r="F41" i="3" s="1"/>
  <c r="F42" i="3" s="1"/>
  <c r="E132" i="1"/>
  <c r="F132" i="1"/>
  <c r="E64" i="1"/>
  <c r="E92" i="1" s="1"/>
  <c r="H64" i="1"/>
  <c r="H92" i="1" s="1"/>
  <c r="E80" i="1"/>
  <c r="E94" i="1" s="1"/>
  <c r="H80" i="1"/>
  <c r="H94" i="1" s="1"/>
  <c r="E88" i="1"/>
  <c r="E95" i="1" s="1"/>
  <c r="H88" i="1"/>
  <c r="H95" i="1" s="1"/>
  <c r="G88" i="1"/>
  <c r="G95" i="1" s="1"/>
  <c r="G80" i="1"/>
  <c r="G94" i="1" s="1"/>
  <c r="F72" i="1"/>
  <c r="F93" i="1" s="1"/>
  <c r="F88" i="1"/>
  <c r="F80" i="1"/>
  <c r="F94" i="1" s="1"/>
  <c r="F64" i="1"/>
  <c r="F92" i="1" s="1"/>
  <c r="H72" i="1"/>
  <c r="H93" i="1" s="1"/>
  <c r="E72" i="1"/>
  <c r="E93" i="1" s="1"/>
  <c r="H59" i="1"/>
  <c r="G59" i="1"/>
  <c r="F59" i="1"/>
  <c r="F106" i="1"/>
  <c r="G106" i="1"/>
  <c r="H106" i="1"/>
  <c r="F51" i="1"/>
  <c r="G51" i="1"/>
  <c r="H51" i="1"/>
  <c r="E106" i="1"/>
  <c r="E51" i="1"/>
  <c r="F115" i="1"/>
  <c r="F133" i="1" s="1"/>
  <c r="G115" i="1"/>
  <c r="G133" i="1" s="1"/>
  <c r="H115" i="1"/>
  <c r="H133" i="1" s="1"/>
  <c r="E115" i="1"/>
  <c r="E133" i="1" s="1"/>
  <c r="G56" i="1"/>
  <c r="G91" i="1" s="1"/>
  <c r="H134" i="1" l="1"/>
  <c r="H126" i="1"/>
  <c r="H142" i="1"/>
  <c r="H144" i="1" s="1"/>
  <c r="E128" i="1"/>
  <c r="E152" i="1"/>
  <c r="E154" i="1" s="1"/>
  <c r="G125" i="1"/>
  <c r="F27" i="3" s="1"/>
  <c r="F29" i="3" s="1"/>
  <c r="F30" i="3" s="1"/>
  <c r="F31" i="3" s="1"/>
  <c r="F32" i="3" s="1"/>
  <c r="F33" i="3" s="1"/>
  <c r="G137" i="1"/>
  <c r="G139" i="1" s="1"/>
  <c r="G127" i="1"/>
  <c r="F48" i="3" s="1"/>
  <c r="F50" i="3" s="1"/>
  <c r="F51" i="3" s="1"/>
  <c r="F52" i="3" s="1"/>
  <c r="F53" i="3" s="1"/>
  <c r="F54" i="3" s="1"/>
  <c r="G147" i="1"/>
  <c r="G149" i="1" s="1"/>
  <c r="G128" i="1"/>
  <c r="F58" i="3" s="1"/>
  <c r="F60" i="3" s="1"/>
  <c r="F61" i="3" s="1"/>
  <c r="G152" i="1"/>
  <c r="G154" i="1" s="1"/>
  <c r="E127" i="1"/>
  <c r="E147" i="1"/>
  <c r="E149" i="1" s="1"/>
  <c r="E126" i="1"/>
  <c r="E142" i="1"/>
  <c r="E144" i="1" s="1"/>
  <c r="H128" i="1"/>
  <c r="H152" i="1"/>
  <c r="H154" i="1" s="1"/>
  <c r="H125" i="1"/>
  <c r="H137" i="1"/>
  <c r="H139" i="1" s="1"/>
  <c r="F126" i="1"/>
  <c r="F142" i="1"/>
  <c r="F144" i="1" s="1"/>
  <c r="E125" i="1"/>
  <c r="E137" i="1"/>
  <c r="E139" i="1" s="1"/>
  <c r="F125" i="1"/>
  <c r="F137" i="1"/>
  <c r="F139" i="1" s="1"/>
  <c r="H127" i="1"/>
  <c r="H147" i="1"/>
  <c r="H149" i="1" s="1"/>
  <c r="F127" i="1"/>
  <c r="F147" i="1"/>
  <c r="F149" i="1" s="1"/>
  <c r="E134" i="1"/>
  <c r="F62" i="3"/>
  <c r="F63" i="3" s="1"/>
  <c r="F64" i="3" s="1"/>
  <c r="F124" i="1"/>
  <c r="F95" i="1"/>
  <c r="F134" i="1"/>
  <c r="H124" i="1"/>
  <c r="E124" i="1"/>
  <c r="G132" i="1"/>
  <c r="G134" i="1" s="1"/>
  <c r="G124" i="1"/>
  <c r="F17" i="3" s="1"/>
  <c r="F19" i="3" s="1"/>
  <c r="F20" i="3" s="1"/>
  <c r="F21" i="3" l="1"/>
  <c r="F22" i="3"/>
  <c r="F23" i="3" s="1"/>
  <c r="F128" i="1"/>
  <c r="F152" i="1"/>
  <c r="F154" i="1" s="1"/>
</calcChain>
</file>

<file path=xl/sharedStrings.xml><?xml version="1.0" encoding="utf-8"?>
<sst xmlns="http://schemas.openxmlformats.org/spreadsheetml/2006/main" count="156" uniqueCount="53">
  <si>
    <t>包月天数</t>
  </si>
  <si>
    <t>摩尔庄园</t>
    <phoneticPr fontId="6" type="noConversion"/>
  </si>
  <si>
    <t>统一配置项</t>
    <phoneticPr fontId="6" type="noConversion"/>
  </si>
  <si>
    <r>
      <t>V</t>
    </r>
    <r>
      <rPr>
        <sz val="10"/>
        <color theme="1"/>
        <rFont val="微软雅黑"/>
        <family val="2"/>
        <charset val="134"/>
      </rPr>
      <t>IP的套餐单价</t>
    </r>
    <phoneticPr fontId="6" type="noConversion"/>
  </si>
  <si>
    <r>
      <t>V</t>
    </r>
    <r>
      <rPr>
        <sz val="10"/>
        <color theme="1"/>
        <rFont val="微软雅黑"/>
        <family val="2"/>
        <charset val="134"/>
      </rPr>
      <t>IP收入</t>
    </r>
    <phoneticPr fontId="6" type="noConversion"/>
  </si>
  <si>
    <t>总收入</t>
    <phoneticPr fontId="6" type="noConversion"/>
  </si>
  <si>
    <t>请逐月填写</t>
    <phoneticPr fontId="6" type="noConversion"/>
  </si>
  <si>
    <t>赛尔号</t>
    <phoneticPr fontId="6" type="noConversion"/>
  </si>
  <si>
    <t>小花仙</t>
    <phoneticPr fontId="6" type="noConversion"/>
  </si>
  <si>
    <t>功夫派</t>
    <phoneticPr fontId="6" type="noConversion"/>
  </si>
  <si>
    <t>热血精灵派</t>
    <phoneticPr fontId="6" type="noConversion"/>
  </si>
  <si>
    <t>台币（元）</t>
    <phoneticPr fontId="6" type="noConversion"/>
  </si>
  <si>
    <t>台币（分）</t>
    <phoneticPr fontId="6" type="noConversion"/>
  </si>
  <si>
    <t>米币兑换游戏币</t>
    <phoneticPr fontId="6" type="noConversion"/>
  </si>
  <si>
    <t>VIP</t>
    <phoneticPr fontId="6" type="noConversion"/>
  </si>
  <si>
    <t>摩尔庄园</t>
    <phoneticPr fontId="6" type="noConversion"/>
  </si>
  <si>
    <t>赛尔号</t>
    <phoneticPr fontId="6" type="noConversion"/>
  </si>
  <si>
    <t>小花仙</t>
    <phoneticPr fontId="6" type="noConversion"/>
  </si>
  <si>
    <t>功夫派</t>
    <phoneticPr fontId="6" type="noConversion"/>
  </si>
  <si>
    <t>热血精灵派</t>
    <phoneticPr fontId="6" type="noConversion"/>
  </si>
  <si>
    <r>
      <t>V</t>
    </r>
    <r>
      <rPr>
        <sz val="10"/>
        <color theme="1"/>
        <rFont val="微软雅黑"/>
        <family val="2"/>
        <charset val="134"/>
      </rPr>
      <t>IP</t>
    </r>
    <phoneticPr fontId="6" type="noConversion"/>
  </si>
  <si>
    <t>VIP收入</t>
    <phoneticPr fontId="6" type="noConversion"/>
  </si>
  <si>
    <t>VIP天数</t>
    <phoneticPr fontId="6" type="noConversion"/>
  </si>
  <si>
    <t>VIP各项目收入汇总</t>
    <phoneticPr fontId="6" type="noConversion"/>
  </si>
  <si>
    <t>按游戏分</t>
    <phoneticPr fontId="6" type="noConversion"/>
  </si>
  <si>
    <r>
      <t>V</t>
    </r>
    <r>
      <rPr>
        <sz val="10"/>
        <color theme="1"/>
        <rFont val="微软雅黑"/>
        <family val="2"/>
        <charset val="134"/>
      </rPr>
      <t>IP收入</t>
    </r>
    <phoneticPr fontId="6" type="noConversion"/>
  </si>
  <si>
    <t>米币兑换收入</t>
    <phoneticPr fontId="6" type="noConversion"/>
  </si>
  <si>
    <t>总收入</t>
    <phoneticPr fontId="6" type="noConversion"/>
  </si>
  <si>
    <t>所有项目汇总收入</t>
    <phoneticPr fontId="6" type="noConversion"/>
  </si>
  <si>
    <t>修订历史</t>
    <phoneticPr fontId="6" type="noConversion"/>
  </si>
  <si>
    <t>序号</t>
    <phoneticPr fontId="6" type="noConversion"/>
  </si>
  <si>
    <t>修订内容</t>
    <phoneticPr fontId="6" type="noConversion"/>
  </si>
  <si>
    <t>修订人</t>
    <phoneticPr fontId="6" type="noConversion"/>
  </si>
  <si>
    <t>修订日期</t>
    <phoneticPr fontId="6" type="noConversion"/>
  </si>
  <si>
    <t>lynn</t>
    <phoneticPr fontId="6" type="noConversion"/>
  </si>
  <si>
    <t>2015.09.11</t>
    <phoneticPr fontId="6" type="noConversion"/>
  </si>
  <si>
    <t>测试收入</t>
    <phoneticPr fontId="6" type="noConversion"/>
  </si>
  <si>
    <t>正式进账</t>
    <phoneticPr fontId="6" type="noConversion"/>
  </si>
  <si>
    <t>台湾政府税率20%</t>
    <phoneticPr fontId="6" type="noConversion"/>
  </si>
  <si>
    <t>分成实付台币金额</t>
    <phoneticPr fontId="6" type="noConversion"/>
  </si>
  <si>
    <t>转成美金</t>
    <phoneticPr fontId="6" type="noConversion"/>
  </si>
  <si>
    <t>转成人民币</t>
    <phoneticPr fontId="6" type="noConversion"/>
  </si>
  <si>
    <t>本次美元汇率</t>
    <phoneticPr fontId="6" type="noConversion"/>
  </si>
  <si>
    <t>本次人民币汇率</t>
    <phoneticPr fontId="6" type="noConversion"/>
  </si>
  <si>
    <t>依据合约抽成</t>
    <phoneticPr fontId="6" type="noConversion"/>
  </si>
  <si>
    <t>统一配置</t>
    <phoneticPr fontId="6" type="noConversion"/>
  </si>
  <si>
    <t>各项目抽成比例</t>
    <phoneticPr fontId="6" type="noConversion"/>
  </si>
  <si>
    <t>建立初始模板,实现填写明细即出收入总额</t>
    <phoneticPr fontId="6" type="noConversion"/>
  </si>
  <si>
    <t>转成美金</t>
    <phoneticPr fontId="6" type="noConversion"/>
  </si>
  <si>
    <t>转成美金</t>
    <phoneticPr fontId="6" type="noConversion"/>
  </si>
  <si>
    <t>转成美金</t>
    <phoneticPr fontId="6" type="noConversion"/>
  </si>
  <si>
    <t>商城消费情况-消耗米币</t>
    <phoneticPr fontId="6" type="noConversion"/>
  </si>
  <si>
    <r>
      <t>y</t>
    </r>
    <r>
      <rPr>
        <sz val="10"/>
        <color theme="1"/>
        <rFont val="微软雅黑"/>
        <family val="2"/>
        <charset val="134"/>
      </rPr>
      <t>es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</si>
</sst>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16" x14ac:knownFonts="1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宋体"/>
      <family val="2"/>
      <scheme val="minor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4" fillId="0" borderId="0" xfId="0" applyFont="1" applyFill="1" applyBorder="1" applyAlignment="1">
      <alignment horizontal="justify" vertical="center" wrapText="1"/>
    </xf>
    <xf numFmtId="57" fontId="4" fillId="0" borderId="0" xfId="0" applyNumberFormat="1" applyFont="1" applyFill="1" applyBorder="1" applyAlignment="1">
      <alignment horizontal="justify" vertical="center" wrapText="1"/>
    </xf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57" fontId="4" fillId="0" borderId="0" xfId="0" applyNumberFormat="1" applyFont="1" applyFill="1" applyBorder="1"/>
    <xf numFmtId="0" fontId="7" fillId="0" borderId="0" xfId="0" applyFont="1" applyFill="1"/>
    <xf numFmtId="0" fontId="7" fillId="0" borderId="1" xfId="0" applyFont="1" applyBorder="1" applyAlignment="1">
      <alignment horizontal="justify" vertical="center" wrapText="1"/>
    </xf>
    <xf numFmtId="0" fontId="7" fillId="0" borderId="0" xfId="0" applyFont="1"/>
    <xf numFmtId="0" fontId="2" fillId="0" borderId="0" xfId="0" applyFont="1" applyFill="1" applyBorder="1"/>
    <xf numFmtId="0" fontId="9" fillId="0" borderId="0" xfId="0" applyFont="1" applyFill="1" applyBorder="1"/>
    <xf numFmtId="0" fontId="4" fillId="0" borderId="0" xfId="0" applyNumberFormat="1" applyFont="1" applyFill="1" applyBorder="1"/>
    <xf numFmtId="0" fontId="11" fillId="0" borderId="0" xfId="0" applyFont="1" applyFill="1" applyBorder="1"/>
    <xf numFmtId="0" fontId="12" fillId="0" borderId="0" xfId="0" applyFont="1" applyFill="1" applyBorder="1"/>
    <xf numFmtId="0" fontId="13" fillId="2" borderId="2" xfId="0" applyFont="1" applyFill="1" applyBorder="1" applyAlignment="1">
      <alignment horizontal="center"/>
    </xf>
    <xf numFmtId="0" fontId="10" fillId="0" borderId="0" xfId="0" applyFont="1"/>
    <xf numFmtId="0" fontId="14" fillId="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57" fontId="2" fillId="0" borderId="0" xfId="0" applyNumberFormat="1" applyFont="1" applyFill="1" applyBorder="1"/>
    <xf numFmtId="0" fontId="2" fillId="0" borderId="0" xfId="0" applyFont="1"/>
    <xf numFmtId="57" fontId="2" fillId="0" borderId="0" xfId="0" applyNumberFormat="1" applyFont="1"/>
    <xf numFmtId="1" fontId="2" fillId="0" borderId="0" xfId="0" applyNumberFormat="1" applyFont="1"/>
    <xf numFmtId="9" fontId="2" fillId="0" borderId="0" xfId="0" applyNumberFormat="1" applyFont="1"/>
    <xf numFmtId="176" fontId="2" fillId="0" borderId="0" xfId="1" applyNumberFormat="1" applyFont="1" applyAlignment="1"/>
    <xf numFmtId="0" fontId="5" fillId="0" borderId="0" xfId="0" applyFont="1"/>
    <xf numFmtId="43" fontId="5" fillId="0" borderId="0" xfId="1" applyNumberFormat="1" applyFont="1" applyAlignment="1"/>
    <xf numFmtId="0" fontId="9" fillId="3" borderId="0" xfId="0" applyFont="1" applyFill="1" applyBorder="1"/>
    <xf numFmtId="0" fontId="15" fillId="3" borderId="0" xfId="0" applyFont="1" applyFill="1" applyBorder="1"/>
    <xf numFmtId="0" fontId="1" fillId="0" borderId="0" xfId="0" applyFont="1" applyFill="1" applyBorder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0"/>
  <sheetViews>
    <sheetView workbookViewId="0">
      <selection activeCell="H19" sqref="H19"/>
    </sheetView>
  </sheetViews>
  <sheetFormatPr defaultRowHeight="13.5" x14ac:dyDescent="0.15"/>
  <cols>
    <col min="3" max="3" width="38.75" bestFit="1" customWidth="1"/>
    <col min="4" max="4" width="7.375" bestFit="1" customWidth="1"/>
    <col min="5" max="5" width="11.875" bestFit="1" customWidth="1"/>
  </cols>
  <sheetData>
    <row r="4" spans="2:5" ht="16.5" x14ac:dyDescent="0.3">
      <c r="B4" s="15" t="s">
        <v>29</v>
      </c>
      <c r="C4" s="16"/>
      <c r="D4" s="16"/>
      <c r="E4" s="16"/>
    </row>
    <row r="5" spans="2:5" ht="15" x14ac:dyDescent="0.25">
      <c r="B5" s="17" t="s">
        <v>30</v>
      </c>
      <c r="C5" s="17" t="s">
        <v>31</v>
      </c>
      <c r="D5" s="17" t="s">
        <v>32</v>
      </c>
      <c r="E5" s="17" t="s">
        <v>33</v>
      </c>
    </row>
    <row r="6" spans="2:5" ht="16.5" x14ac:dyDescent="0.15">
      <c r="B6" s="18">
        <v>1</v>
      </c>
      <c r="C6" s="18" t="s">
        <v>47</v>
      </c>
      <c r="D6" s="18" t="s">
        <v>34</v>
      </c>
      <c r="E6" s="18" t="s">
        <v>35</v>
      </c>
    </row>
    <row r="7" spans="2:5" ht="16.5" x14ac:dyDescent="0.15">
      <c r="B7" s="18">
        <v>2</v>
      </c>
      <c r="C7" s="18"/>
      <c r="D7" s="18"/>
      <c r="E7" s="18"/>
    </row>
    <row r="8" spans="2:5" ht="16.5" x14ac:dyDescent="0.15">
      <c r="B8" s="18">
        <v>3</v>
      </c>
      <c r="C8" s="18"/>
      <c r="D8" s="18"/>
      <c r="E8" s="18"/>
    </row>
    <row r="9" spans="2:5" ht="16.5" x14ac:dyDescent="0.15">
      <c r="B9" s="18"/>
      <c r="C9" s="18"/>
      <c r="D9" s="18"/>
      <c r="E9" s="18"/>
    </row>
    <row r="10" spans="2:5" ht="16.5" x14ac:dyDescent="0.15">
      <c r="B10" s="18"/>
      <c r="C10" s="18"/>
      <c r="D10" s="18"/>
      <c r="E10" s="18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6"/>
  <sheetViews>
    <sheetView tabSelected="1" topLeftCell="C1" zoomScale="96" zoomScaleNormal="96" workbookViewId="0">
      <selection activeCell="J111" sqref="J111"/>
    </sheetView>
  </sheetViews>
  <sheetFormatPr defaultRowHeight="16.5" x14ac:dyDescent="0.35"/>
  <cols>
    <col min="1" max="2" width="12.5" style="4" bestFit="1" customWidth="1"/>
    <col min="3" max="3" width="24" style="4" bestFit="1" customWidth="1"/>
    <col min="4" max="4" width="11.375" style="4" bestFit="1" customWidth="1"/>
    <col min="5" max="5" width="9.75" style="4" bestFit="1" customWidth="1"/>
    <col min="6" max="6" width="11.25" style="4" bestFit="1" customWidth="1"/>
    <col min="7" max="8" width="10.25" style="4" bestFit="1" customWidth="1"/>
    <col min="9" max="9" width="11.5" style="4" bestFit="1" customWidth="1"/>
    <col min="10" max="10" width="12.875" style="4" customWidth="1"/>
    <col min="11" max="11" width="10.5" style="4" bestFit="1" customWidth="1"/>
    <col min="12" max="16384" width="9" style="4"/>
  </cols>
  <sheetData>
    <row r="1" spans="1:10" x14ac:dyDescent="0.35">
      <c r="A1" s="5" t="s">
        <v>2</v>
      </c>
    </row>
    <row r="2" spans="1:10" x14ac:dyDescent="0.35">
      <c r="A2" s="3" t="s">
        <v>3</v>
      </c>
    </row>
    <row r="3" spans="1:10" x14ac:dyDescent="0.35">
      <c r="A3" s="1">
        <v>31</v>
      </c>
      <c r="B3" s="4">
        <v>150</v>
      </c>
    </row>
    <row r="4" spans="1:10" x14ac:dyDescent="0.35">
      <c r="A4" s="1">
        <v>93</v>
      </c>
      <c r="B4" s="4">
        <v>450</v>
      </c>
    </row>
    <row r="5" spans="1:10" x14ac:dyDescent="0.35">
      <c r="A5" s="1">
        <v>186</v>
      </c>
      <c r="B5" s="4">
        <v>800</v>
      </c>
    </row>
    <row r="6" spans="1:10" x14ac:dyDescent="0.35">
      <c r="A6" s="1">
        <v>372</v>
      </c>
      <c r="B6" s="4">
        <v>1500</v>
      </c>
    </row>
    <row r="8" spans="1:10" ht="21" x14ac:dyDescent="0.4">
      <c r="C8" s="27" t="s">
        <v>22</v>
      </c>
    </row>
    <row r="9" spans="1:10" x14ac:dyDescent="0.35">
      <c r="C9" s="3" t="s">
        <v>6</v>
      </c>
    </row>
    <row r="11" spans="1:10" x14ac:dyDescent="0.35">
      <c r="C11" s="5" t="s">
        <v>1</v>
      </c>
      <c r="D11" s="1" t="s">
        <v>0</v>
      </c>
      <c r="E11" s="6">
        <v>42156</v>
      </c>
      <c r="F11" s="6">
        <v>42186</v>
      </c>
      <c r="G11" s="2">
        <v>42217</v>
      </c>
      <c r="H11" s="6">
        <v>42248</v>
      </c>
      <c r="I11" s="6">
        <v>42278</v>
      </c>
      <c r="J11" s="6">
        <v>42309</v>
      </c>
    </row>
    <row r="12" spans="1:10" x14ac:dyDescent="0.35">
      <c r="C12" s="10" t="s">
        <v>20</v>
      </c>
      <c r="D12" s="1">
        <v>31</v>
      </c>
      <c r="F12" s="4">
        <v>1407</v>
      </c>
      <c r="G12" s="1">
        <v>1182</v>
      </c>
      <c r="H12" s="4">
        <v>715</v>
      </c>
      <c r="I12" s="4">
        <v>613</v>
      </c>
      <c r="J12" s="4">
        <v>511</v>
      </c>
    </row>
    <row r="13" spans="1:10" x14ac:dyDescent="0.35">
      <c r="D13" s="1">
        <v>93</v>
      </c>
      <c r="F13" s="4">
        <v>40</v>
      </c>
      <c r="G13" s="1">
        <v>41</v>
      </c>
      <c r="H13" s="4">
        <v>44</v>
      </c>
      <c r="I13" s="4">
        <v>32</v>
      </c>
      <c r="J13" s="4">
        <v>23</v>
      </c>
    </row>
    <row r="14" spans="1:10" x14ac:dyDescent="0.35">
      <c r="D14" s="1">
        <v>186</v>
      </c>
      <c r="F14" s="4">
        <v>11</v>
      </c>
      <c r="G14" s="1">
        <v>18</v>
      </c>
      <c r="H14" s="4">
        <v>20</v>
      </c>
      <c r="I14" s="4">
        <v>10</v>
      </c>
      <c r="J14" s="4">
        <v>5</v>
      </c>
    </row>
    <row r="15" spans="1:10" x14ac:dyDescent="0.35">
      <c r="D15" s="1">
        <v>372</v>
      </c>
      <c r="F15" s="4">
        <v>11</v>
      </c>
      <c r="G15" s="1">
        <v>9</v>
      </c>
      <c r="H15" s="4">
        <v>9</v>
      </c>
      <c r="I15" s="4">
        <v>7</v>
      </c>
      <c r="J15" s="4">
        <v>20</v>
      </c>
    </row>
    <row r="18" spans="3:10" x14ac:dyDescent="0.35">
      <c r="C18" s="5" t="s">
        <v>7</v>
      </c>
      <c r="D18" s="3"/>
    </row>
    <row r="19" spans="3:10" x14ac:dyDescent="0.35">
      <c r="C19" s="5" t="s">
        <v>14</v>
      </c>
      <c r="D19" s="1" t="s">
        <v>0</v>
      </c>
      <c r="E19" s="6">
        <f>E11</f>
        <v>42156</v>
      </c>
      <c r="F19" s="6">
        <f>F11</f>
        <v>42186</v>
      </c>
      <c r="G19" s="6">
        <f>G11</f>
        <v>42217</v>
      </c>
      <c r="H19" s="6">
        <f>H11</f>
        <v>42248</v>
      </c>
      <c r="I19" s="6">
        <v>42278</v>
      </c>
      <c r="J19" s="6">
        <f>J11</f>
        <v>42309</v>
      </c>
    </row>
    <row r="20" spans="3:10" x14ac:dyDescent="0.35">
      <c r="D20" s="1">
        <v>31</v>
      </c>
      <c r="F20" s="4">
        <v>706</v>
      </c>
      <c r="G20" s="1">
        <v>1129</v>
      </c>
      <c r="H20" s="4">
        <v>650</v>
      </c>
      <c r="I20" s="4">
        <v>597</v>
      </c>
      <c r="J20" s="4">
        <v>614</v>
      </c>
    </row>
    <row r="21" spans="3:10" x14ac:dyDescent="0.35">
      <c r="D21" s="1">
        <v>93</v>
      </c>
      <c r="F21" s="4">
        <v>130</v>
      </c>
      <c r="G21" s="1">
        <v>97</v>
      </c>
      <c r="H21" s="4">
        <v>56</v>
      </c>
      <c r="I21" s="4">
        <v>54</v>
      </c>
      <c r="J21" s="4">
        <v>39</v>
      </c>
    </row>
    <row r="22" spans="3:10" x14ac:dyDescent="0.35">
      <c r="D22" s="1">
        <v>186</v>
      </c>
      <c r="F22" s="4">
        <v>36</v>
      </c>
      <c r="G22" s="1">
        <v>40</v>
      </c>
      <c r="H22" s="4">
        <v>57</v>
      </c>
      <c r="I22" s="4">
        <v>31</v>
      </c>
      <c r="J22" s="4">
        <v>19</v>
      </c>
    </row>
    <row r="23" spans="3:10" x14ac:dyDescent="0.35">
      <c r="D23" s="1">
        <v>372</v>
      </c>
      <c r="F23" s="4">
        <v>46</v>
      </c>
      <c r="G23" s="1">
        <v>59</v>
      </c>
      <c r="H23" s="4">
        <v>58</v>
      </c>
      <c r="I23" s="4">
        <v>43</v>
      </c>
      <c r="J23" s="4">
        <v>41</v>
      </c>
    </row>
    <row r="26" spans="3:10" x14ac:dyDescent="0.35">
      <c r="D26" s="3"/>
    </row>
    <row r="27" spans="3:10" x14ac:dyDescent="0.35">
      <c r="C27" s="5" t="s">
        <v>8</v>
      </c>
      <c r="D27" s="1" t="s">
        <v>0</v>
      </c>
      <c r="E27" s="6">
        <f>E11</f>
        <v>42156</v>
      </c>
      <c r="F27" s="6">
        <v>42186</v>
      </c>
      <c r="G27" s="2">
        <v>42217</v>
      </c>
      <c r="H27" s="6">
        <v>42248</v>
      </c>
      <c r="I27" s="6">
        <v>42278</v>
      </c>
      <c r="J27" s="6">
        <v>42309</v>
      </c>
    </row>
    <row r="28" spans="3:10" x14ac:dyDescent="0.35">
      <c r="C28" s="5" t="s">
        <v>14</v>
      </c>
      <c r="D28" s="1">
        <v>31</v>
      </c>
      <c r="F28" s="4">
        <v>380</v>
      </c>
      <c r="G28" s="1">
        <v>560</v>
      </c>
      <c r="H28" s="4">
        <v>346</v>
      </c>
      <c r="I28" s="4">
        <v>360</v>
      </c>
      <c r="J28" s="4">
        <v>436</v>
      </c>
    </row>
    <row r="29" spans="3:10" x14ac:dyDescent="0.35">
      <c r="D29" s="1">
        <v>93</v>
      </c>
      <c r="F29" s="4">
        <v>229</v>
      </c>
      <c r="G29" s="1">
        <v>82</v>
      </c>
      <c r="H29" s="4">
        <v>28</v>
      </c>
      <c r="I29" s="4">
        <v>170</v>
      </c>
      <c r="J29" s="4">
        <v>150</v>
      </c>
    </row>
    <row r="30" spans="3:10" x14ac:dyDescent="0.35">
      <c r="D30" s="1">
        <v>186</v>
      </c>
      <c r="F30" s="4">
        <v>9</v>
      </c>
      <c r="G30" s="1">
        <v>14</v>
      </c>
      <c r="H30" s="4">
        <v>6</v>
      </c>
      <c r="I30" s="4">
        <v>9</v>
      </c>
      <c r="J30" s="4">
        <v>7</v>
      </c>
    </row>
    <row r="31" spans="3:10" x14ac:dyDescent="0.35">
      <c r="D31" s="1">
        <v>372</v>
      </c>
      <c r="F31" s="4">
        <v>18</v>
      </c>
      <c r="G31" s="1">
        <v>63</v>
      </c>
      <c r="H31" s="4">
        <v>31</v>
      </c>
      <c r="I31" s="4">
        <v>20</v>
      </c>
      <c r="J31" s="4">
        <v>15</v>
      </c>
    </row>
    <row r="34" spans="3:10" x14ac:dyDescent="0.35">
      <c r="C34" s="5" t="s">
        <v>9</v>
      </c>
      <c r="D34" s="3"/>
    </row>
    <row r="35" spans="3:10" x14ac:dyDescent="0.35">
      <c r="C35" s="5" t="s">
        <v>14</v>
      </c>
      <c r="D35" s="1" t="s">
        <v>0</v>
      </c>
      <c r="E35" s="6">
        <f>E11</f>
        <v>42156</v>
      </c>
      <c r="F35" s="6">
        <v>42186</v>
      </c>
      <c r="G35" s="2">
        <v>42217</v>
      </c>
      <c r="H35" s="6">
        <v>42248</v>
      </c>
      <c r="I35" s="6">
        <v>42278</v>
      </c>
      <c r="J35" s="6">
        <v>42309</v>
      </c>
    </row>
    <row r="36" spans="3:10" x14ac:dyDescent="0.35">
      <c r="D36" s="1">
        <v>31</v>
      </c>
      <c r="F36" s="4">
        <v>145</v>
      </c>
      <c r="G36" s="1">
        <v>113</v>
      </c>
      <c r="H36" s="4">
        <v>79</v>
      </c>
      <c r="I36" s="4">
        <v>65</v>
      </c>
      <c r="J36" s="4">
        <v>63</v>
      </c>
    </row>
    <row r="37" spans="3:10" x14ac:dyDescent="0.35">
      <c r="D37" s="1">
        <v>93</v>
      </c>
      <c r="F37" s="4">
        <v>9</v>
      </c>
      <c r="G37" s="1">
        <v>5</v>
      </c>
      <c r="H37" s="4">
        <v>7</v>
      </c>
      <c r="I37" s="4">
        <v>10</v>
      </c>
      <c r="J37" s="4">
        <v>11</v>
      </c>
    </row>
    <row r="38" spans="3:10" x14ac:dyDescent="0.35">
      <c r="D38" s="1">
        <v>186</v>
      </c>
      <c r="F38" s="4">
        <v>7</v>
      </c>
      <c r="G38" s="1">
        <v>2</v>
      </c>
      <c r="H38" s="4">
        <v>2</v>
      </c>
      <c r="I38" s="4">
        <v>1</v>
      </c>
      <c r="J38" s="4">
        <v>2</v>
      </c>
    </row>
    <row r="39" spans="3:10" x14ac:dyDescent="0.35">
      <c r="D39" s="1">
        <v>372</v>
      </c>
      <c r="F39" s="4">
        <v>11</v>
      </c>
      <c r="G39" s="1">
        <v>10</v>
      </c>
      <c r="H39" s="4">
        <v>3</v>
      </c>
      <c r="I39" s="4">
        <v>0</v>
      </c>
      <c r="J39" s="4">
        <v>8</v>
      </c>
    </row>
    <row r="42" spans="3:10" x14ac:dyDescent="0.35">
      <c r="C42" s="5" t="s">
        <v>10</v>
      </c>
      <c r="D42" s="3"/>
    </row>
    <row r="43" spans="3:10" x14ac:dyDescent="0.35">
      <c r="C43" s="5" t="s">
        <v>14</v>
      </c>
      <c r="D43" s="1" t="s">
        <v>0</v>
      </c>
      <c r="E43" s="6">
        <f>E11</f>
        <v>42156</v>
      </c>
      <c r="F43" s="6">
        <v>42186</v>
      </c>
      <c r="G43" s="2">
        <v>42217</v>
      </c>
      <c r="H43" s="6">
        <v>42248</v>
      </c>
      <c r="I43" s="6">
        <v>42278</v>
      </c>
      <c r="J43" s="6">
        <v>42309</v>
      </c>
    </row>
    <row r="44" spans="3:10" x14ac:dyDescent="0.35">
      <c r="D44" s="1">
        <v>30</v>
      </c>
      <c r="F44" s="4">
        <v>174</v>
      </c>
      <c r="G44" s="1">
        <v>151</v>
      </c>
      <c r="H44" s="4">
        <v>230</v>
      </c>
      <c r="I44" s="4">
        <v>112</v>
      </c>
      <c r="J44" s="4">
        <v>141</v>
      </c>
    </row>
    <row r="45" spans="3:10" x14ac:dyDescent="0.35">
      <c r="D45" s="1">
        <v>90</v>
      </c>
      <c r="F45" s="4">
        <v>33</v>
      </c>
      <c r="G45" s="1">
        <v>26</v>
      </c>
      <c r="H45" s="4">
        <v>16</v>
      </c>
      <c r="I45" s="4">
        <v>14</v>
      </c>
      <c r="J45" s="4">
        <v>19</v>
      </c>
    </row>
    <row r="46" spans="3:10" x14ac:dyDescent="0.35">
      <c r="D46" s="1">
        <v>180</v>
      </c>
      <c r="F46" s="4">
        <v>7</v>
      </c>
      <c r="G46" s="1">
        <v>8</v>
      </c>
      <c r="H46" s="4">
        <v>5</v>
      </c>
      <c r="I46" s="4">
        <v>7</v>
      </c>
      <c r="J46" s="4">
        <v>7</v>
      </c>
    </row>
    <row r="47" spans="3:10" x14ac:dyDescent="0.35">
      <c r="D47" s="1">
        <v>360</v>
      </c>
      <c r="F47" s="4">
        <v>13</v>
      </c>
      <c r="G47" s="1">
        <v>6</v>
      </c>
      <c r="H47" s="4">
        <v>12</v>
      </c>
      <c r="I47" s="4">
        <v>9</v>
      </c>
      <c r="J47" s="4">
        <v>6</v>
      </c>
    </row>
    <row r="49" spans="3:10" ht="21" x14ac:dyDescent="0.4">
      <c r="C49" s="11" t="s">
        <v>21</v>
      </c>
    </row>
    <row r="50" spans="3:10" x14ac:dyDescent="0.35">
      <c r="C50" s="5" t="s">
        <v>15</v>
      </c>
    </row>
    <row r="51" spans="3:10" x14ac:dyDescent="0.35">
      <c r="C51" s="5"/>
      <c r="D51" s="1" t="s">
        <v>0</v>
      </c>
      <c r="E51" s="6">
        <f>E11</f>
        <v>42156</v>
      </c>
      <c r="F51" s="6">
        <f>F11</f>
        <v>42186</v>
      </c>
      <c r="G51" s="6">
        <f>G11</f>
        <v>42217</v>
      </c>
      <c r="H51" s="6">
        <f>H11</f>
        <v>42248</v>
      </c>
      <c r="I51" s="6">
        <v>42278</v>
      </c>
      <c r="J51" s="6">
        <f>J11</f>
        <v>42309</v>
      </c>
    </row>
    <row r="52" spans="3:10" x14ac:dyDescent="0.35">
      <c r="C52" s="5"/>
      <c r="D52" s="1">
        <v>31</v>
      </c>
      <c r="E52" s="4">
        <f>E12*$B$3</f>
        <v>0</v>
      </c>
      <c r="F52" s="4">
        <f>F12*$B$3</f>
        <v>211050</v>
      </c>
      <c r="G52" s="4">
        <f>G12*$B$3</f>
        <v>177300</v>
      </c>
      <c r="H52" s="4">
        <f>H12*$B$3</f>
        <v>107250</v>
      </c>
      <c r="I52" s="4">
        <f>I12*$B$3</f>
        <v>91950</v>
      </c>
    </row>
    <row r="53" spans="3:10" x14ac:dyDescent="0.35">
      <c r="C53" s="5"/>
      <c r="D53" s="1">
        <v>93</v>
      </c>
      <c r="E53" s="4">
        <f>E13*$B$4</f>
        <v>0</v>
      </c>
      <c r="F53" s="4">
        <f>F13*$B$4</f>
        <v>18000</v>
      </c>
      <c r="G53" s="4">
        <f>G13*$B$4</f>
        <v>18450</v>
      </c>
      <c r="H53" s="4">
        <f>H13*$B$4</f>
        <v>19800</v>
      </c>
      <c r="I53" s="4">
        <f>I13*$B$4</f>
        <v>14400</v>
      </c>
    </row>
    <row r="54" spans="3:10" x14ac:dyDescent="0.35">
      <c r="C54" s="5"/>
      <c r="D54" s="1">
        <v>186</v>
      </c>
      <c r="E54" s="4">
        <f>E14*$B$5</f>
        <v>0</v>
      </c>
      <c r="F54" s="4">
        <f>F14*$B$5</f>
        <v>8800</v>
      </c>
      <c r="G54" s="4">
        <f>G14*$B$5</f>
        <v>14400</v>
      </c>
      <c r="H54" s="4">
        <f>H14*$B$5</f>
        <v>16000</v>
      </c>
      <c r="I54" s="4">
        <f>I14*$B$5</f>
        <v>8000</v>
      </c>
    </row>
    <row r="55" spans="3:10" x14ac:dyDescent="0.35">
      <c r="C55" s="5"/>
      <c r="D55" s="1">
        <v>372</v>
      </c>
      <c r="E55" s="4">
        <f>E15*$B$6</f>
        <v>0</v>
      </c>
      <c r="F55" s="4">
        <f>F15*$B$6</f>
        <v>16500</v>
      </c>
      <c r="G55" s="4">
        <f>G15*$B$6</f>
        <v>13500</v>
      </c>
      <c r="H55" s="4">
        <f>H15*$B$6</f>
        <v>13500</v>
      </c>
      <c r="I55" s="4">
        <f>I15*$B$6</f>
        <v>10500</v>
      </c>
    </row>
    <row r="56" spans="3:10" x14ac:dyDescent="0.35">
      <c r="C56" s="5"/>
      <c r="D56" s="3" t="s">
        <v>5</v>
      </c>
      <c r="E56" s="4">
        <f>SUM(E52:E55)</f>
        <v>0</v>
      </c>
      <c r="F56" s="4">
        <f>SUM(F52:F55)</f>
        <v>254350</v>
      </c>
      <c r="G56" s="4">
        <f>SUM(G52:G55)</f>
        <v>223650</v>
      </c>
      <c r="H56" s="4">
        <f>SUM(H52:H55)</f>
        <v>156550</v>
      </c>
      <c r="I56" s="4">
        <f>SUM(I52:I55)</f>
        <v>124850</v>
      </c>
    </row>
    <row r="57" spans="3:10" x14ac:dyDescent="0.35">
      <c r="C57" s="5"/>
    </row>
    <row r="58" spans="3:10" x14ac:dyDescent="0.35">
      <c r="C58" s="5" t="s">
        <v>16</v>
      </c>
      <c r="D58" s="3" t="s">
        <v>4</v>
      </c>
    </row>
    <row r="59" spans="3:10" x14ac:dyDescent="0.35">
      <c r="C59" s="5"/>
      <c r="D59" s="1" t="s">
        <v>0</v>
      </c>
      <c r="E59" s="6">
        <f>E11</f>
        <v>42156</v>
      </c>
      <c r="F59" s="6">
        <f>F19</f>
        <v>42186</v>
      </c>
      <c r="G59" s="6">
        <f>G19</f>
        <v>42217</v>
      </c>
      <c r="H59" s="6">
        <f>H19</f>
        <v>42248</v>
      </c>
      <c r="I59" s="6">
        <v>42278</v>
      </c>
      <c r="J59" s="6">
        <f>J19</f>
        <v>42309</v>
      </c>
    </row>
    <row r="60" spans="3:10" x14ac:dyDescent="0.35">
      <c r="C60" s="5"/>
      <c r="D60" s="1">
        <v>31</v>
      </c>
      <c r="E60" s="4">
        <f>E20*$B$3</f>
        <v>0</v>
      </c>
      <c r="F60" s="4">
        <f>F20*$B$3</f>
        <v>105900</v>
      </c>
      <c r="G60" s="4">
        <f>G20*$B$3</f>
        <v>169350</v>
      </c>
      <c r="H60" s="4">
        <f>H20*$B$3</f>
        <v>97500</v>
      </c>
      <c r="I60" s="4">
        <f>I20*$B$3</f>
        <v>89550</v>
      </c>
    </row>
    <row r="61" spans="3:10" x14ac:dyDescent="0.35">
      <c r="C61" s="5"/>
      <c r="D61" s="1">
        <v>93</v>
      </c>
      <c r="E61" s="4">
        <f>E21*$B$4</f>
        <v>0</v>
      </c>
      <c r="F61" s="4">
        <f>F21*$B$4</f>
        <v>58500</v>
      </c>
      <c r="G61" s="4">
        <f>G21*$B$4</f>
        <v>43650</v>
      </c>
      <c r="H61" s="4">
        <f>H21*$B$4</f>
        <v>25200</v>
      </c>
      <c r="I61" s="4">
        <f>I21*$B$4</f>
        <v>24300</v>
      </c>
    </row>
    <row r="62" spans="3:10" x14ac:dyDescent="0.35">
      <c r="C62" s="5"/>
      <c r="D62" s="1">
        <v>186</v>
      </c>
      <c r="E62" s="4">
        <f>E22*$B$5</f>
        <v>0</v>
      </c>
      <c r="F62" s="4">
        <f>F22*$B$5</f>
        <v>28800</v>
      </c>
      <c r="G62" s="4">
        <f>G22*$B$5</f>
        <v>32000</v>
      </c>
      <c r="H62" s="4">
        <f>H22*$B$5</f>
        <v>45600</v>
      </c>
      <c r="I62" s="4">
        <f>I22*$B$5</f>
        <v>24800</v>
      </c>
    </row>
    <row r="63" spans="3:10" x14ac:dyDescent="0.35">
      <c r="C63" s="5"/>
      <c r="D63" s="1">
        <v>372</v>
      </c>
      <c r="E63" s="4">
        <f>E23*$B$6</f>
        <v>0</v>
      </c>
      <c r="F63" s="4">
        <f>F23*$B$6</f>
        <v>69000</v>
      </c>
      <c r="G63" s="4">
        <f>G23*$B$6</f>
        <v>88500</v>
      </c>
      <c r="H63" s="4">
        <f>H23*$B$6</f>
        <v>87000</v>
      </c>
      <c r="I63" s="4">
        <f>I23*$B$6</f>
        <v>64500</v>
      </c>
    </row>
    <row r="64" spans="3:10" x14ac:dyDescent="0.35">
      <c r="C64" s="5"/>
      <c r="D64" s="3" t="s">
        <v>5</v>
      </c>
      <c r="E64" s="4">
        <f>SUM(E60:E63)</f>
        <v>0</v>
      </c>
      <c r="F64" s="4">
        <f>SUM(F60:F63)</f>
        <v>262200</v>
      </c>
      <c r="G64" s="4">
        <f>SUM(G60:G63)</f>
        <v>333500</v>
      </c>
      <c r="H64" s="4">
        <f>SUM(H60:H63)</f>
        <v>255300</v>
      </c>
      <c r="I64" s="4">
        <f>SUM(I60:I63)</f>
        <v>203150</v>
      </c>
    </row>
    <row r="65" spans="3:10" x14ac:dyDescent="0.35">
      <c r="C65" s="5"/>
    </row>
    <row r="66" spans="3:10" x14ac:dyDescent="0.35">
      <c r="C66" s="5" t="s">
        <v>17</v>
      </c>
      <c r="D66" s="3" t="s">
        <v>4</v>
      </c>
    </row>
    <row r="67" spans="3:10" x14ac:dyDescent="0.35">
      <c r="C67" s="5"/>
      <c r="D67" s="1" t="s">
        <v>0</v>
      </c>
      <c r="E67" s="6">
        <f>E11</f>
        <v>42156</v>
      </c>
      <c r="F67" s="6">
        <f>F27</f>
        <v>42186</v>
      </c>
      <c r="G67" s="6">
        <f>G27</f>
        <v>42217</v>
      </c>
      <c r="H67" s="6">
        <f>H27</f>
        <v>42248</v>
      </c>
      <c r="I67" s="6">
        <v>42278</v>
      </c>
      <c r="J67" s="6">
        <f>J27</f>
        <v>42309</v>
      </c>
    </row>
    <row r="68" spans="3:10" x14ac:dyDescent="0.35">
      <c r="C68" s="5"/>
      <c r="D68" s="1">
        <v>31</v>
      </c>
      <c r="E68" s="4">
        <f>E28*$B$3</f>
        <v>0</v>
      </c>
      <c r="F68" s="4">
        <f>F28*$B$3</f>
        <v>57000</v>
      </c>
      <c r="G68" s="4">
        <f>G28*$B$3</f>
        <v>84000</v>
      </c>
      <c r="H68" s="4">
        <f>H28*$B$3</f>
        <v>51900</v>
      </c>
      <c r="I68" s="4">
        <f>I28*$B$3</f>
        <v>54000</v>
      </c>
    </row>
    <row r="69" spans="3:10" x14ac:dyDescent="0.35">
      <c r="C69" s="5"/>
      <c r="D69" s="1">
        <v>93</v>
      </c>
      <c r="E69" s="4">
        <f>E29*$B$4</f>
        <v>0</v>
      </c>
      <c r="F69" s="4">
        <f>F29*$B$4</f>
        <v>103050</v>
      </c>
      <c r="G69" s="4">
        <f>G29*$B$4</f>
        <v>36900</v>
      </c>
      <c r="H69" s="4">
        <f>H29*$B$4</f>
        <v>12600</v>
      </c>
      <c r="I69" s="4">
        <f>I29*$B$4</f>
        <v>76500</v>
      </c>
    </row>
    <row r="70" spans="3:10" x14ac:dyDescent="0.35">
      <c r="C70" s="5"/>
      <c r="D70" s="1">
        <v>186</v>
      </c>
      <c r="E70" s="4">
        <f>E30*$B$5</f>
        <v>0</v>
      </c>
      <c r="F70" s="4">
        <f>F30*$B$5</f>
        <v>7200</v>
      </c>
      <c r="G70" s="4">
        <f>G30*$B$5</f>
        <v>11200</v>
      </c>
      <c r="H70" s="4">
        <f>H30*$B$5</f>
        <v>4800</v>
      </c>
      <c r="I70" s="4">
        <f>I30*$B$5</f>
        <v>7200</v>
      </c>
    </row>
    <row r="71" spans="3:10" x14ac:dyDescent="0.35">
      <c r="C71" s="5"/>
      <c r="D71" s="1">
        <v>372</v>
      </c>
      <c r="E71" s="4">
        <f>E31*$B$6</f>
        <v>0</v>
      </c>
      <c r="F71" s="4">
        <f>F31*$B$6</f>
        <v>27000</v>
      </c>
      <c r="G71" s="4">
        <f>G31*$B$6</f>
        <v>94500</v>
      </c>
      <c r="H71" s="4">
        <f>H31*$B$6</f>
        <v>46500</v>
      </c>
      <c r="I71" s="4">
        <f>I31*$B$6</f>
        <v>30000</v>
      </c>
    </row>
    <row r="72" spans="3:10" x14ac:dyDescent="0.35">
      <c r="C72" s="5"/>
      <c r="D72" s="3" t="s">
        <v>5</v>
      </c>
      <c r="E72" s="4">
        <f>SUM(E68:E71)</f>
        <v>0</v>
      </c>
      <c r="F72" s="4">
        <f>SUM(F68:F71)</f>
        <v>194250</v>
      </c>
      <c r="G72" s="4">
        <f>SUM(G68:G71)</f>
        <v>226600</v>
      </c>
      <c r="H72" s="4">
        <f>SUM(H68:H71)</f>
        <v>115800</v>
      </c>
      <c r="I72" s="4">
        <f>SUM(I68:I71)</f>
        <v>167700</v>
      </c>
    </row>
    <row r="73" spans="3:10" x14ac:dyDescent="0.35">
      <c r="C73" s="5"/>
    </row>
    <row r="74" spans="3:10" x14ac:dyDescent="0.35">
      <c r="C74" s="5" t="s">
        <v>18</v>
      </c>
      <c r="D74" s="3" t="s">
        <v>4</v>
      </c>
    </row>
    <row r="75" spans="3:10" x14ac:dyDescent="0.35">
      <c r="C75" s="5"/>
      <c r="D75" s="1" t="s">
        <v>0</v>
      </c>
      <c r="E75" s="6">
        <f>E11</f>
        <v>42156</v>
      </c>
      <c r="F75" s="6">
        <f>F35</f>
        <v>42186</v>
      </c>
      <c r="G75" s="6">
        <f>G35</f>
        <v>42217</v>
      </c>
      <c r="H75" s="6">
        <f>H35</f>
        <v>42248</v>
      </c>
      <c r="I75" s="6">
        <v>42278</v>
      </c>
    </row>
    <row r="76" spans="3:10" x14ac:dyDescent="0.35">
      <c r="C76" s="5"/>
      <c r="D76" s="1">
        <v>31</v>
      </c>
      <c r="E76" s="4">
        <f>E36*$B$3</f>
        <v>0</v>
      </c>
      <c r="F76" s="4">
        <f>F36*$B$3</f>
        <v>21750</v>
      </c>
      <c r="G76" s="4">
        <f>G36*$B$3</f>
        <v>16950</v>
      </c>
      <c r="H76" s="4">
        <f>H36*$B$3</f>
        <v>11850</v>
      </c>
      <c r="I76" s="4">
        <f>I36*$B$3</f>
        <v>9750</v>
      </c>
    </row>
    <row r="77" spans="3:10" x14ac:dyDescent="0.35">
      <c r="C77" s="5"/>
      <c r="D77" s="1">
        <v>93</v>
      </c>
      <c r="E77" s="4">
        <f>E37*$B$4</f>
        <v>0</v>
      </c>
      <c r="F77" s="4">
        <f>F37*$B$4</f>
        <v>4050</v>
      </c>
      <c r="G77" s="4">
        <f>G37*$B$4</f>
        <v>2250</v>
      </c>
      <c r="H77" s="4">
        <f>H37*$B$4</f>
        <v>3150</v>
      </c>
      <c r="I77" s="4">
        <f>I37*$B$4</f>
        <v>4500</v>
      </c>
    </row>
    <row r="78" spans="3:10" x14ac:dyDescent="0.35">
      <c r="C78" s="5"/>
      <c r="D78" s="1">
        <v>186</v>
      </c>
      <c r="E78" s="4">
        <f>E38*$B$5</f>
        <v>0</v>
      </c>
      <c r="F78" s="4">
        <f>F38*$B$5</f>
        <v>5600</v>
      </c>
      <c r="G78" s="4">
        <f>G38*$B$5</f>
        <v>1600</v>
      </c>
      <c r="H78" s="4">
        <f>H38*$B$5</f>
        <v>1600</v>
      </c>
      <c r="I78" s="4">
        <f>I38*$B$5</f>
        <v>800</v>
      </c>
    </row>
    <row r="79" spans="3:10" x14ac:dyDescent="0.35">
      <c r="C79" s="5"/>
      <c r="D79" s="1">
        <v>372</v>
      </c>
      <c r="E79" s="4">
        <f>E39*$B$6</f>
        <v>0</v>
      </c>
      <c r="F79" s="4">
        <f>F39*$B$6</f>
        <v>16500</v>
      </c>
      <c r="G79" s="4">
        <f>G39*$B$6</f>
        <v>15000</v>
      </c>
      <c r="H79" s="4">
        <f>H39*$B$6</f>
        <v>4500</v>
      </c>
      <c r="I79" s="4">
        <f>I39*$B$6</f>
        <v>0</v>
      </c>
    </row>
    <row r="80" spans="3:10" ht="17.25" thickBot="1" x14ac:dyDescent="0.4">
      <c r="C80" s="5"/>
      <c r="D80" s="3" t="s">
        <v>5</v>
      </c>
      <c r="E80" s="4">
        <f>SUM(E76:E79)</f>
        <v>0</v>
      </c>
      <c r="F80" s="4">
        <f t="shared" ref="F80:H80" si="0">SUM(F76:F79)</f>
        <v>47900</v>
      </c>
      <c r="G80" s="4">
        <f t="shared" si="0"/>
        <v>35800</v>
      </c>
      <c r="H80" s="4">
        <f t="shared" si="0"/>
        <v>21100</v>
      </c>
      <c r="I80" s="4">
        <f t="shared" ref="I80" si="1">SUM(I76:I79)</f>
        <v>15050</v>
      </c>
    </row>
    <row r="81" spans="3:9" ht="17.25" thickBot="1" x14ac:dyDescent="0.4">
      <c r="C81" s="5"/>
      <c r="D81" s="10"/>
      <c r="G81" s="8"/>
    </row>
    <row r="82" spans="3:9" x14ac:dyDescent="0.35">
      <c r="C82" s="5" t="s">
        <v>19</v>
      </c>
      <c r="D82" s="3" t="s">
        <v>4</v>
      </c>
    </row>
    <row r="83" spans="3:9" x14ac:dyDescent="0.35">
      <c r="D83" s="1" t="s">
        <v>0</v>
      </c>
      <c r="E83" s="6">
        <f>E11</f>
        <v>42156</v>
      </c>
      <c r="F83" s="6">
        <f>F43</f>
        <v>42186</v>
      </c>
      <c r="G83" s="6">
        <f>G43</f>
        <v>42217</v>
      </c>
      <c r="H83" s="6">
        <f>H43</f>
        <v>42248</v>
      </c>
      <c r="I83" s="6">
        <v>42278</v>
      </c>
    </row>
    <row r="84" spans="3:9" x14ac:dyDescent="0.35">
      <c r="D84" s="1">
        <v>31</v>
      </c>
      <c r="E84" s="4">
        <f>E44*$B$3</f>
        <v>0</v>
      </c>
      <c r="F84" s="4">
        <f>F44*$B$3</f>
        <v>26100</v>
      </c>
      <c r="G84" s="4">
        <f>G44*$B$3</f>
        <v>22650</v>
      </c>
      <c r="H84" s="4">
        <f>H44*$B$3</f>
        <v>34500</v>
      </c>
      <c r="I84" s="4">
        <f>I44*$B$3</f>
        <v>16800</v>
      </c>
    </row>
    <row r="85" spans="3:9" x14ac:dyDescent="0.35">
      <c r="D85" s="1">
        <v>93</v>
      </c>
      <c r="E85" s="4">
        <f>E45*$B$4</f>
        <v>0</v>
      </c>
      <c r="F85" s="4">
        <f>F45*$B$4</f>
        <v>14850</v>
      </c>
      <c r="G85" s="4">
        <f>G45*$B$4</f>
        <v>11700</v>
      </c>
      <c r="H85" s="4">
        <f>H45*$B$4</f>
        <v>7200</v>
      </c>
      <c r="I85" s="4">
        <f>I45*$B$4</f>
        <v>6300</v>
      </c>
    </row>
    <row r="86" spans="3:9" x14ac:dyDescent="0.35">
      <c r="D86" s="1">
        <v>186</v>
      </c>
      <c r="E86" s="4">
        <f>E46*$B$5</f>
        <v>0</v>
      </c>
      <c r="F86" s="4">
        <f>F46*$B$5</f>
        <v>5600</v>
      </c>
      <c r="G86" s="4">
        <f>G46*$B$5</f>
        <v>6400</v>
      </c>
      <c r="H86" s="4">
        <f>H46*$B$5</f>
        <v>4000</v>
      </c>
      <c r="I86" s="4">
        <f>I46*$B$5</f>
        <v>5600</v>
      </c>
    </row>
    <row r="87" spans="3:9" x14ac:dyDescent="0.35">
      <c r="D87" s="1">
        <v>372</v>
      </c>
      <c r="E87" s="4">
        <f>E47*$B$6</f>
        <v>0</v>
      </c>
      <c r="F87" s="4">
        <f>F47*$B$6</f>
        <v>19500</v>
      </c>
      <c r="G87" s="4">
        <f>G47*$B$6</f>
        <v>9000</v>
      </c>
      <c r="H87" s="4">
        <f>H47*$B$6</f>
        <v>18000</v>
      </c>
      <c r="I87" s="4">
        <f>I47*$B$6</f>
        <v>13500</v>
      </c>
    </row>
    <row r="88" spans="3:9" x14ac:dyDescent="0.35">
      <c r="D88" s="3" t="s">
        <v>5</v>
      </c>
      <c r="E88" s="4">
        <f>SUM(E84:E87)</f>
        <v>0</v>
      </c>
      <c r="F88" s="4">
        <f t="shared" ref="F88:H88" si="2">SUM(F84:F87)</f>
        <v>66050</v>
      </c>
      <c r="G88" s="4">
        <f t="shared" si="2"/>
        <v>49750</v>
      </c>
      <c r="H88" s="4">
        <f t="shared" si="2"/>
        <v>63700</v>
      </c>
      <c r="I88" s="4">
        <f t="shared" ref="I88" si="3">SUM(I84:I87)</f>
        <v>42200</v>
      </c>
    </row>
    <row r="90" spans="3:9" x14ac:dyDescent="0.35">
      <c r="C90" s="5" t="s">
        <v>23</v>
      </c>
      <c r="E90" s="6">
        <f>E11</f>
        <v>42156</v>
      </c>
      <c r="F90" s="6">
        <f t="shared" ref="F90:H90" si="4">F11</f>
        <v>42186</v>
      </c>
      <c r="G90" s="6">
        <f t="shared" si="4"/>
        <v>42217</v>
      </c>
      <c r="H90" s="6">
        <f t="shared" si="4"/>
        <v>42248</v>
      </c>
      <c r="I90" s="6">
        <v>42278</v>
      </c>
    </row>
    <row r="91" spans="3:9" x14ac:dyDescent="0.35">
      <c r="D91" s="10" t="s">
        <v>15</v>
      </c>
      <c r="E91" s="4">
        <f>E56</f>
        <v>0</v>
      </c>
      <c r="F91" s="4">
        <f t="shared" ref="F91:H91" si="5">F56</f>
        <v>254350</v>
      </c>
      <c r="G91" s="4">
        <f t="shared" si="5"/>
        <v>223650</v>
      </c>
      <c r="H91" s="4">
        <f t="shared" si="5"/>
        <v>156550</v>
      </c>
      <c r="I91" s="4">
        <f t="shared" ref="I91" si="6">I56</f>
        <v>124850</v>
      </c>
    </row>
    <row r="92" spans="3:9" x14ac:dyDescent="0.35">
      <c r="D92" s="10" t="s">
        <v>16</v>
      </c>
      <c r="E92" s="4">
        <f>E64</f>
        <v>0</v>
      </c>
      <c r="F92" s="4">
        <f t="shared" ref="F92:H92" si="7">F64</f>
        <v>262200</v>
      </c>
      <c r="G92" s="4">
        <f t="shared" si="7"/>
        <v>333500</v>
      </c>
      <c r="H92" s="4">
        <f t="shared" si="7"/>
        <v>255300</v>
      </c>
      <c r="I92" s="4">
        <f t="shared" ref="I92" si="8">I64</f>
        <v>203150</v>
      </c>
    </row>
    <row r="93" spans="3:9" x14ac:dyDescent="0.35">
      <c r="D93" s="10" t="s">
        <v>17</v>
      </c>
      <c r="E93" s="4">
        <f>E72</f>
        <v>0</v>
      </c>
      <c r="F93" s="4">
        <f t="shared" ref="F93:H93" si="9">F72</f>
        <v>194250</v>
      </c>
      <c r="G93" s="4">
        <f t="shared" si="9"/>
        <v>226600</v>
      </c>
      <c r="H93" s="4">
        <f t="shared" si="9"/>
        <v>115800</v>
      </c>
      <c r="I93" s="4">
        <f t="shared" ref="I93" si="10">I72</f>
        <v>167700</v>
      </c>
    </row>
    <row r="94" spans="3:9" x14ac:dyDescent="0.35">
      <c r="C94" s="5"/>
      <c r="D94" s="10" t="s">
        <v>18</v>
      </c>
      <c r="E94" s="12">
        <f>E80</f>
        <v>0</v>
      </c>
      <c r="F94" s="12">
        <f t="shared" ref="F94:H94" si="11">F80</f>
        <v>47900</v>
      </c>
      <c r="G94" s="12">
        <f t="shared" si="11"/>
        <v>35800</v>
      </c>
      <c r="H94" s="12">
        <f t="shared" si="11"/>
        <v>21100</v>
      </c>
      <c r="I94" s="12">
        <f t="shared" ref="I94" si="12">I80</f>
        <v>15050</v>
      </c>
    </row>
    <row r="95" spans="3:9" x14ac:dyDescent="0.35">
      <c r="D95" s="10" t="s">
        <v>19</v>
      </c>
      <c r="E95" s="4">
        <f>E88</f>
        <v>0</v>
      </c>
      <c r="F95" s="4">
        <f t="shared" ref="F95:H95" si="13">F88</f>
        <v>66050</v>
      </c>
      <c r="G95" s="4">
        <f t="shared" si="13"/>
        <v>49750</v>
      </c>
      <c r="H95" s="4">
        <f t="shared" si="13"/>
        <v>63700</v>
      </c>
      <c r="I95" s="4">
        <f t="shared" ref="I95" si="14">I88</f>
        <v>42200</v>
      </c>
    </row>
    <row r="96" spans="3:9" x14ac:dyDescent="0.35">
      <c r="D96" s="10"/>
    </row>
    <row r="97" spans="3:10" x14ac:dyDescent="0.35">
      <c r="D97" s="10"/>
    </row>
    <row r="98" spans="3:10" ht="18" x14ac:dyDescent="0.35">
      <c r="C98" s="28" t="s">
        <v>51</v>
      </c>
      <c r="D98" s="10"/>
      <c r="E98" s="6">
        <f>E11</f>
        <v>42156</v>
      </c>
      <c r="F98" s="6">
        <f t="shared" ref="F98:J98" si="15">F11</f>
        <v>42186</v>
      </c>
      <c r="G98" s="6">
        <f t="shared" si="15"/>
        <v>42217</v>
      </c>
      <c r="H98" s="6">
        <f t="shared" si="15"/>
        <v>42248</v>
      </c>
      <c r="I98" s="6">
        <v>42278</v>
      </c>
      <c r="J98" s="6">
        <f t="shared" si="15"/>
        <v>42309</v>
      </c>
    </row>
    <row r="99" spans="3:10" x14ac:dyDescent="0.35">
      <c r="C99" s="10" t="s">
        <v>12</v>
      </c>
      <c r="D99" s="10" t="s">
        <v>1</v>
      </c>
      <c r="F99" s="4">
        <v>15902200</v>
      </c>
      <c r="G99" s="4">
        <v>21583500</v>
      </c>
      <c r="H99" s="4">
        <v>16776300</v>
      </c>
      <c r="I99" s="4">
        <v>13079900</v>
      </c>
      <c r="J99" s="4">
        <v>10780500</v>
      </c>
    </row>
    <row r="100" spans="3:10" x14ac:dyDescent="0.35">
      <c r="D100" s="10" t="s">
        <v>16</v>
      </c>
      <c r="F100" s="4">
        <v>171837500</v>
      </c>
      <c r="G100" s="4">
        <v>179787500</v>
      </c>
      <c r="H100" s="4">
        <v>173119000</v>
      </c>
      <c r="I100" s="4">
        <v>145606500</v>
      </c>
      <c r="J100" s="4">
        <v>121829500</v>
      </c>
    </row>
    <row r="101" spans="3:10" x14ac:dyDescent="0.35">
      <c r="D101" s="10" t="s">
        <v>8</v>
      </c>
      <c r="F101" s="4">
        <v>84445000</v>
      </c>
      <c r="G101" s="4">
        <v>122493000</v>
      </c>
      <c r="H101" s="4">
        <v>89234500</v>
      </c>
      <c r="I101" s="4">
        <v>85692500</v>
      </c>
      <c r="J101" s="4">
        <v>86524500</v>
      </c>
    </row>
    <row r="102" spans="3:10" x14ac:dyDescent="0.35">
      <c r="D102" s="10" t="s">
        <v>9</v>
      </c>
      <c r="F102" s="4">
        <v>19197000</v>
      </c>
      <c r="G102" s="4">
        <v>27259500</v>
      </c>
      <c r="H102" s="4">
        <v>13278600</v>
      </c>
      <c r="I102" s="4">
        <v>9068500</v>
      </c>
      <c r="J102" s="4">
        <v>10736800</v>
      </c>
    </row>
    <row r="103" spans="3:10" x14ac:dyDescent="0.35">
      <c r="D103" s="10" t="s">
        <v>10</v>
      </c>
      <c r="F103" s="4">
        <v>30318000</v>
      </c>
      <c r="G103" s="4">
        <v>23346000</v>
      </c>
      <c r="H103" s="4">
        <v>23131500</v>
      </c>
      <c r="I103" s="4">
        <v>21604500</v>
      </c>
      <c r="J103" s="4">
        <v>19680000</v>
      </c>
    </row>
    <row r="106" spans="3:10" ht="18" x14ac:dyDescent="0.35">
      <c r="C106" s="28" t="s">
        <v>13</v>
      </c>
      <c r="E106" s="6">
        <f>E11</f>
        <v>42156</v>
      </c>
      <c r="F106" s="6">
        <f>F11</f>
        <v>42186</v>
      </c>
      <c r="G106" s="6">
        <f>G11</f>
        <v>42217</v>
      </c>
      <c r="H106" s="6">
        <f>H11</f>
        <v>42248</v>
      </c>
      <c r="I106" s="6">
        <v>42278</v>
      </c>
      <c r="J106" s="6">
        <f>J11</f>
        <v>42309</v>
      </c>
    </row>
    <row r="107" spans="3:10" x14ac:dyDescent="0.35">
      <c r="C107" s="10" t="s">
        <v>12</v>
      </c>
      <c r="D107" s="10" t="s">
        <v>15</v>
      </c>
      <c r="F107" s="4">
        <v>15902200</v>
      </c>
      <c r="G107" s="1">
        <v>21583500</v>
      </c>
      <c r="H107" s="4">
        <v>16776300</v>
      </c>
      <c r="I107" s="4">
        <v>13129900</v>
      </c>
      <c r="J107" s="4">
        <v>10780500</v>
      </c>
    </row>
    <row r="108" spans="3:10" x14ac:dyDescent="0.35">
      <c r="D108" s="10" t="s">
        <v>16</v>
      </c>
      <c r="F108" s="4">
        <v>171837500</v>
      </c>
      <c r="G108" s="9">
        <v>179792500</v>
      </c>
      <c r="H108" s="4">
        <v>173119000</v>
      </c>
      <c r="I108" s="4">
        <v>145624500</v>
      </c>
      <c r="J108" s="4">
        <v>121829500</v>
      </c>
    </row>
    <row r="109" spans="3:10" x14ac:dyDescent="0.35">
      <c r="D109" s="10" t="s">
        <v>17</v>
      </c>
      <c r="F109" s="4">
        <v>84445000</v>
      </c>
      <c r="G109" s="9">
        <v>122493000</v>
      </c>
      <c r="H109" s="4">
        <v>89234500</v>
      </c>
      <c r="I109" s="4">
        <v>85772000</v>
      </c>
      <c r="J109" s="4">
        <v>86574500</v>
      </c>
    </row>
    <row r="110" spans="3:10" x14ac:dyDescent="0.35">
      <c r="D110" s="10" t="s">
        <v>18</v>
      </c>
      <c r="F110" s="4">
        <v>19197000</v>
      </c>
      <c r="G110" s="9">
        <v>27259500</v>
      </c>
      <c r="H110" s="4">
        <v>13278600</v>
      </c>
      <c r="I110" s="4">
        <v>9068500</v>
      </c>
      <c r="J110" s="4">
        <v>10736800</v>
      </c>
    </row>
    <row r="111" spans="3:10" x14ac:dyDescent="0.35">
      <c r="D111" s="10" t="s">
        <v>19</v>
      </c>
      <c r="F111" s="4">
        <v>30318000</v>
      </c>
      <c r="G111" s="9">
        <v>23346000</v>
      </c>
      <c r="H111" s="4">
        <v>23131500</v>
      </c>
      <c r="I111" s="4">
        <v>21604500</v>
      </c>
      <c r="J111" s="4">
        <v>19680000</v>
      </c>
    </row>
    <row r="114" spans="3:9" x14ac:dyDescent="0.35">
      <c r="E114" s="6">
        <f>E11</f>
        <v>42156</v>
      </c>
      <c r="F114" s="6">
        <f>F11</f>
        <v>42186</v>
      </c>
      <c r="G114" s="6">
        <f>G11</f>
        <v>42217</v>
      </c>
      <c r="H114" s="6">
        <f>H11</f>
        <v>42248</v>
      </c>
      <c r="I114" s="6">
        <v>42278</v>
      </c>
    </row>
    <row r="115" spans="3:9" x14ac:dyDescent="0.35">
      <c r="C115" s="10" t="s">
        <v>11</v>
      </c>
      <c r="D115" s="10" t="s">
        <v>15</v>
      </c>
      <c r="E115" s="4">
        <f>E107/100</f>
        <v>0</v>
      </c>
      <c r="F115" s="4">
        <f>F107/100</f>
        <v>159022</v>
      </c>
      <c r="G115" s="4">
        <f>G107/100</f>
        <v>215835</v>
      </c>
      <c r="H115" s="4">
        <f>H107/100</f>
        <v>167763</v>
      </c>
      <c r="I115" s="4">
        <f>I107/100</f>
        <v>131299</v>
      </c>
    </row>
    <row r="116" spans="3:9" x14ac:dyDescent="0.35">
      <c r="D116" s="10" t="s">
        <v>16</v>
      </c>
      <c r="E116" s="4">
        <f t="shared" ref="E116:H119" si="16">E108/100</f>
        <v>0</v>
      </c>
      <c r="F116" s="4">
        <f t="shared" si="16"/>
        <v>1718375</v>
      </c>
      <c r="G116" s="4">
        <f t="shared" si="16"/>
        <v>1797925</v>
      </c>
      <c r="H116" s="4">
        <f t="shared" si="16"/>
        <v>1731190</v>
      </c>
      <c r="I116" s="4">
        <f t="shared" ref="I116" si="17">I108/100</f>
        <v>1456245</v>
      </c>
    </row>
    <row r="117" spans="3:9" x14ac:dyDescent="0.35">
      <c r="D117" s="10" t="s">
        <v>17</v>
      </c>
      <c r="E117" s="4">
        <f t="shared" si="16"/>
        <v>0</v>
      </c>
      <c r="F117" s="4">
        <f t="shared" si="16"/>
        <v>844450</v>
      </c>
      <c r="G117" s="4">
        <f t="shared" si="16"/>
        <v>1224930</v>
      </c>
      <c r="H117" s="4">
        <f t="shared" si="16"/>
        <v>892345</v>
      </c>
      <c r="I117" s="4">
        <f t="shared" ref="I117" si="18">I109/100</f>
        <v>857720</v>
      </c>
    </row>
    <row r="118" spans="3:9" x14ac:dyDescent="0.35">
      <c r="D118" s="10" t="s">
        <v>18</v>
      </c>
      <c r="E118" s="4">
        <f t="shared" si="16"/>
        <v>0</v>
      </c>
      <c r="F118" s="4">
        <f t="shared" si="16"/>
        <v>191970</v>
      </c>
      <c r="G118" s="4">
        <f t="shared" si="16"/>
        <v>272595</v>
      </c>
      <c r="H118" s="4">
        <f t="shared" si="16"/>
        <v>132786</v>
      </c>
      <c r="I118" s="4">
        <f t="shared" ref="I118" si="19">I110/100</f>
        <v>90685</v>
      </c>
    </row>
    <row r="119" spans="3:9" x14ac:dyDescent="0.35">
      <c r="D119" s="10" t="s">
        <v>19</v>
      </c>
      <c r="E119" s="4">
        <f t="shared" si="16"/>
        <v>0</v>
      </c>
      <c r="F119" s="4">
        <f t="shared" si="16"/>
        <v>303180</v>
      </c>
      <c r="G119" s="4">
        <f t="shared" si="16"/>
        <v>233460</v>
      </c>
      <c r="H119" s="4">
        <f t="shared" si="16"/>
        <v>231315</v>
      </c>
      <c r="I119" s="4">
        <f t="shared" ref="I119" si="20">I111/100</f>
        <v>216045</v>
      </c>
    </row>
    <row r="120" spans="3:9" x14ac:dyDescent="0.35">
      <c r="D120" s="10"/>
      <c r="G120" s="9"/>
    </row>
    <row r="121" spans="3:9" x14ac:dyDescent="0.35">
      <c r="D121" s="10"/>
    </row>
    <row r="123" spans="3:9" ht="18" x14ac:dyDescent="0.35">
      <c r="C123" s="14" t="s">
        <v>28</v>
      </c>
      <c r="E123" s="6">
        <f>E11</f>
        <v>42156</v>
      </c>
      <c r="F123" s="6">
        <f>F35</f>
        <v>42186</v>
      </c>
      <c r="G123" s="6">
        <f>G35</f>
        <v>42217</v>
      </c>
      <c r="H123" s="6">
        <f>H35</f>
        <v>42248</v>
      </c>
      <c r="I123" s="6">
        <v>42278</v>
      </c>
    </row>
    <row r="124" spans="3:9" x14ac:dyDescent="0.35">
      <c r="C124" s="10" t="s">
        <v>11</v>
      </c>
      <c r="D124" s="10" t="s">
        <v>15</v>
      </c>
      <c r="E124" s="4">
        <f t="shared" ref="E124:H128" si="21">E91+E115</f>
        <v>0</v>
      </c>
      <c r="F124" s="4">
        <f t="shared" si="21"/>
        <v>413372</v>
      </c>
      <c r="G124" s="4">
        <f t="shared" si="21"/>
        <v>439485</v>
      </c>
      <c r="H124" s="4">
        <f t="shared" si="21"/>
        <v>324313</v>
      </c>
      <c r="I124" s="4">
        <f t="shared" ref="I124" si="22">I91+I115</f>
        <v>256149</v>
      </c>
    </row>
    <row r="125" spans="3:9" x14ac:dyDescent="0.35">
      <c r="D125" s="10" t="s">
        <v>16</v>
      </c>
      <c r="E125" s="4">
        <f t="shared" si="21"/>
        <v>0</v>
      </c>
      <c r="F125" s="4">
        <f t="shared" si="21"/>
        <v>1980575</v>
      </c>
      <c r="G125" s="4">
        <f t="shared" si="21"/>
        <v>2131425</v>
      </c>
      <c r="H125" s="4">
        <f t="shared" si="21"/>
        <v>1986490</v>
      </c>
      <c r="I125" s="4">
        <f t="shared" ref="I125" si="23">I92+I116</f>
        <v>1659395</v>
      </c>
    </row>
    <row r="126" spans="3:9" x14ac:dyDescent="0.35">
      <c r="D126" s="10" t="s">
        <v>17</v>
      </c>
      <c r="E126" s="4">
        <f t="shared" si="21"/>
        <v>0</v>
      </c>
      <c r="F126" s="4">
        <f t="shared" si="21"/>
        <v>1038700</v>
      </c>
      <c r="G126" s="4">
        <f t="shared" si="21"/>
        <v>1451530</v>
      </c>
      <c r="H126" s="4">
        <f t="shared" si="21"/>
        <v>1008145</v>
      </c>
      <c r="I126" s="4">
        <f t="shared" ref="I126" si="24">I93+I117</f>
        <v>1025420</v>
      </c>
    </row>
    <row r="127" spans="3:9" x14ac:dyDescent="0.35">
      <c r="D127" s="10" t="s">
        <v>18</v>
      </c>
      <c r="E127" s="4">
        <f t="shared" si="21"/>
        <v>0</v>
      </c>
      <c r="F127" s="4">
        <f t="shared" si="21"/>
        <v>239870</v>
      </c>
      <c r="G127" s="4">
        <f t="shared" si="21"/>
        <v>308395</v>
      </c>
      <c r="H127" s="4">
        <f t="shared" si="21"/>
        <v>153886</v>
      </c>
      <c r="I127" s="4">
        <f t="shared" ref="I127" si="25">I94+I118</f>
        <v>105735</v>
      </c>
    </row>
    <row r="128" spans="3:9" x14ac:dyDescent="0.35">
      <c r="D128" s="10" t="s">
        <v>19</v>
      </c>
      <c r="E128" s="4">
        <f t="shared" si="21"/>
        <v>0</v>
      </c>
      <c r="F128" s="4">
        <f t="shared" si="21"/>
        <v>369230</v>
      </c>
      <c r="G128" s="4">
        <f t="shared" si="21"/>
        <v>283210</v>
      </c>
      <c r="H128" s="4">
        <f t="shared" si="21"/>
        <v>295015</v>
      </c>
      <c r="I128" s="4">
        <f t="shared" ref="I128" si="26">I95+I119</f>
        <v>258245</v>
      </c>
    </row>
    <row r="131" spans="3:10" ht="21" x14ac:dyDescent="0.4">
      <c r="C131" s="13" t="s">
        <v>24</v>
      </c>
      <c r="E131" s="6">
        <f>E11</f>
        <v>42156</v>
      </c>
      <c r="F131" s="6">
        <f>F11</f>
        <v>42186</v>
      </c>
      <c r="G131" s="6">
        <f>G11</f>
        <v>42217</v>
      </c>
      <c r="H131" s="6">
        <f>H11</f>
        <v>42248</v>
      </c>
      <c r="I131" s="6">
        <v>42278</v>
      </c>
    </row>
    <row r="132" spans="3:10" x14ac:dyDescent="0.35">
      <c r="C132" s="5" t="s">
        <v>15</v>
      </c>
      <c r="D132" s="10" t="s">
        <v>25</v>
      </c>
      <c r="E132" s="4">
        <f>E91</f>
        <v>0</v>
      </c>
      <c r="F132" s="4">
        <f>F91</f>
        <v>254350</v>
      </c>
      <c r="G132" s="4">
        <f>G91</f>
        <v>223650</v>
      </c>
      <c r="H132" s="4">
        <f>H91</f>
        <v>156550</v>
      </c>
      <c r="I132" s="4">
        <f>I91</f>
        <v>124850</v>
      </c>
    </row>
    <row r="133" spans="3:10" x14ac:dyDescent="0.35">
      <c r="C133" s="5"/>
      <c r="D133" s="10" t="s">
        <v>26</v>
      </c>
      <c r="E133" s="4">
        <f>E115</f>
        <v>0</v>
      </c>
      <c r="F133" s="4">
        <f t="shared" ref="F133:H133" si="27">F115</f>
        <v>159022</v>
      </c>
      <c r="G133" s="4">
        <f t="shared" si="27"/>
        <v>215835</v>
      </c>
      <c r="H133" s="4">
        <f t="shared" si="27"/>
        <v>167763</v>
      </c>
      <c r="I133" s="4">
        <f t="shared" ref="I133" si="28">I115</f>
        <v>131299</v>
      </c>
    </row>
    <row r="134" spans="3:10" x14ac:dyDescent="0.35">
      <c r="C134" s="5"/>
      <c r="D134" s="10" t="s">
        <v>27</v>
      </c>
      <c r="E134" s="4">
        <f>E132+E133</f>
        <v>0</v>
      </c>
      <c r="F134" s="4">
        <f t="shared" ref="F134:H134" si="29">F132+F133</f>
        <v>413372</v>
      </c>
      <c r="G134" s="4">
        <f t="shared" si="29"/>
        <v>439485</v>
      </c>
      <c r="H134" s="4">
        <f t="shared" si="29"/>
        <v>324313</v>
      </c>
      <c r="I134" s="4">
        <f t="shared" ref="I134" si="30">I132+I133</f>
        <v>256149</v>
      </c>
      <c r="J134" s="29" t="s">
        <v>52</v>
      </c>
    </row>
    <row r="135" spans="3:10" x14ac:dyDescent="0.35">
      <c r="C135" s="5"/>
    </row>
    <row r="136" spans="3:10" ht="21" x14ac:dyDescent="0.4">
      <c r="C136" s="11"/>
      <c r="E136" s="6">
        <f>E11</f>
        <v>42156</v>
      </c>
      <c r="F136" s="6">
        <f>F11</f>
        <v>42186</v>
      </c>
      <c r="G136" s="6">
        <f>G11</f>
        <v>42217</v>
      </c>
      <c r="H136" s="6">
        <f>H11</f>
        <v>42248</v>
      </c>
      <c r="I136" s="6">
        <v>42278</v>
      </c>
    </row>
    <row r="137" spans="3:10" x14ac:dyDescent="0.35">
      <c r="C137" s="5" t="s">
        <v>16</v>
      </c>
      <c r="D137" s="10" t="s">
        <v>25</v>
      </c>
      <c r="E137" s="4">
        <f>E92</f>
        <v>0</v>
      </c>
      <c r="F137" s="4">
        <f>F92</f>
        <v>262200</v>
      </c>
      <c r="G137" s="4">
        <f>G92</f>
        <v>333500</v>
      </c>
      <c r="H137" s="4">
        <f>H92</f>
        <v>255300</v>
      </c>
      <c r="I137" s="4">
        <f>I92</f>
        <v>203150</v>
      </c>
    </row>
    <row r="138" spans="3:10" x14ac:dyDescent="0.35">
      <c r="C138" s="5"/>
      <c r="D138" s="10" t="s">
        <v>26</v>
      </c>
      <c r="E138" s="4">
        <f>E116</f>
        <v>0</v>
      </c>
      <c r="F138" s="4">
        <f t="shared" ref="F138:H138" si="31">F116</f>
        <v>1718375</v>
      </c>
      <c r="G138" s="4">
        <f t="shared" si="31"/>
        <v>1797925</v>
      </c>
      <c r="H138" s="4">
        <f t="shared" si="31"/>
        <v>1731190</v>
      </c>
      <c r="I138" s="4">
        <f t="shared" ref="I138" si="32">I116</f>
        <v>1456245</v>
      </c>
    </row>
    <row r="139" spans="3:10" x14ac:dyDescent="0.35">
      <c r="C139" s="5"/>
      <c r="D139" s="10" t="s">
        <v>27</v>
      </c>
      <c r="E139" s="4">
        <f>SUM(E137:E138)</f>
        <v>0</v>
      </c>
      <c r="F139" s="4">
        <f t="shared" ref="F139:H139" si="33">SUM(F137:F138)</f>
        <v>1980575</v>
      </c>
      <c r="G139" s="4">
        <f t="shared" si="33"/>
        <v>2131425</v>
      </c>
      <c r="H139" s="4">
        <f t="shared" si="33"/>
        <v>1986490</v>
      </c>
      <c r="I139" s="4">
        <f t="shared" ref="I139" si="34">SUM(I137:I138)</f>
        <v>1659395</v>
      </c>
    </row>
    <row r="140" spans="3:10" x14ac:dyDescent="0.35">
      <c r="C140" s="5"/>
    </row>
    <row r="141" spans="3:10" ht="21" x14ac:dyDescent="0.4">
      <c r="C141" s="11"/>
      <c r="E141" s="6">
        <f>E11</f>
        <v>42156</v>
      </c>
      <c r="F141" s="6">
        <f>F11</f>
        <v>42186</v>
      </c>
      <c r="G141" s="6">
        <f>G11</f>
        <v>42217</v>
      </c>
      <c r="H141" s="6">
        <f>H11</f>
        <v>42248</v>
      </c>
      <c r="I141" s="6">
        <v>42278</v>
      </c>
    </row>
    <row r="142" spans="3:10" x14ac:dyDescent="0.35">
      <c r="C142" s="5" t="s">
        <v>17</v>
      </c>
      <c r="D142" s="10" t="s">
        <v>25</v>
      </c>
      <c r="E142" s="4">
        <f>E93</f>
        <v>0</v>
      </c>
      <c r="F142" s="4">
        <f>F93</f>
        <v>194250</v>
      </c>
      <c r="G142" s="4">
        <f>G93</f>
        <v>226600</v>
      </c>
      <c r="H142" s="4">
        <f>H93</f>
        <v>115800</v>
      </c>
      <c r="I142" s="4">
        <f>I93</f>
        <v>167700</v>
      </c>
    </row>
    <row r="143" spans="3:10" x14ac:dyDescent="0.35">
      <c r="C143" s="5"/>
      <c r="D143" s="10" t="s">
        <v>26</v>
      </c>
      <c r="E143" s="4">
        <f>E117</f>
        <v>0</v>
      </c>
      <c r="F143" s="4">
        <f t="shared" ref="F143:H143" si="35">F117</f>
        <v>844450</v>
      </c>
      <c r="G143" s="4">
        <f t="shared" si="35"/>
        <v>1224930</v>
      </c>
      <c r="H143" s="4">
        <f t="shared" si="35"/>
        <v>892345</v>
      </c>
      <c r="I143" s="4">
        <f t="shared" ref="I143" si="36">I117</f>
        <v>857720</v>
      </c>
    </row>
    <row r="144" spans="3:10" x14ac:dyDescent="0.35">
      <c r="C144" s="5"/>
      <c r="D144" s="10" t="s">
        <v>27</v>
      </c>
      <c r="E144" s="4">
        <f>SUM(E142:E143)</f>
        <v>0</v>
      </c>
      <c r="F144" s="4">
        <f t="shared" ref="F144:H144" si="37">SUM(F142:F143)</f>
        <v>1038700</v>
      </c>
      <c r="G144" s="4">
        <f t="shared" si="37"/>
        <v>1451530</v>
      </c>
      <c r="H144" s="4">
        <f t="shared" si="37"/>
        <v>1008145</v>
      </c>
      <c r="I144" s="4">
        <f t="shared" ref="I144" si="38">SUM(I142:I143)</f>
        <v>1025420</v>
      </c>
    </row>
    <row r="145" spans="3:9" x14ac:dyDescent="0.35">
      <c r="C145" s="5"/>
    </row>
    <row r="146" spans="3:9" ht="21" x14ac:dyDescent="0.4">
      <c r="C146" s="11"/>
      <c r="E146" s="6">
        <f>E11</f>
        <v>42156</v>
      </c>
      <c r="F146" s="6">
        <f>F11</f>
        <v>42186</v>
      </c>
      <c r="G146" s="6">
        <f>G11</f>
        <v>42217</v>
      </c>
      <c r="H146" s="6">
        <f>H11</f>
        <v>42248</v>
      </c>
      <c r="I146" s="6">
        <v>42278</v>
      </c>
    </row>
    <row r="147" spans="3:9" x14ac:dyDescent="0.35">
      <c r="C147" s="5" t="s">
        <v>18</v>
      </c>
      <c r="D147" s="10" t="s">
        <v>25</v>
      </c>
      <c r="E147" s="4">
        <f>E94</f>
        <v>0</v>
      </c>
      <c r="F147" s="4">
        <f>F94</f>
        <v>47900</v>
      </c>
      <c r="G147" s="4">
        <f>G94</f>
        <v>35800</v>
      </c>
      <c r="H147" s="4">
        <f>H94</f>
        <v>21100</v>
      </c>
      <c r="I147" s="4">
        <f>I94</f>
        <v>15050</v>
      </c>
    </row>
    <row r="148" spans="3:9" x14ac:dyDescent="0.35">
      <c r="C148" s="5"/>
      <c r="D148" s="10" t="s">
        <v>26</v>
      </c>
      <c r="E148" s="4">
        <f>E118</f>
        <v>0</v>
      </c>
      <c r="F148" s="4">
        <f t="shared" ref="F148:H148" si="39">F118</f>
        <v>191970</v>
      </c>
      <c r="G148" s="4">
        <f t="shared" si="39"/>
        <v>272595</v>
      </c>
      <c r="H148" s="4">
        <f t="shared" si="39"/>
        <v>132786</v>
      </c>
      <c r="I148" s="4">
        <f t="shared" ref="I148" si="40">I118</f>
        <v>90685</v>
      </c>
    </row>
    <row r="149" spans="3:9" x14ac:dyDescent="0.35">
      <c r="C149" s="5"/>
      <c r="D149" s="10" t="s">
        <v>27</v>
      </c>
      <c r="E149" s="4">
        <f>SUM(E147:E148)</f>
        <v>0</v>
      </c>
      <c r="F149" s="4">
        <f t="shared" ref="F149:H149" si="41">SUM(F147:F148)</f>
        <v>239870</v>
      </c>
      <c r="G149" s="4">
        <f t="shared" si="41"/>
        <v>308395</v>
      </c>
      <c r="H149" s="4">
        <f t="shared" si="41"/>
        <v>153886</v>
      </c>
      <c r="I149" s="4">
        <f t="shared" ref="I149" si="42">SUM(I147:I148)</f>
        <v>105735</v>
      </c>
    </row>
    <row r="150" spans="3:9" x14ac:dyDescent="0.35">
      <c r="C150" s="5"/>
      <c r="E150" s="6"/>
      <c r="F150" s="6"/>
      <c r="G150" s="6"/>
      <c r="H150" s="6"/>
    </row>
    <row r="151" spans="3:9" ht="21" x14ac:dyDescent="0.4">
      <c r="C151" s="11"/>
      <c r="E151" s="6">
        <f>E11</f>
        <v>42156</v>
      </c>
      <c r="F151" s="6">
        <f>F11</f>
        <v>42186</v>
      </c>
      <c r="G151" s="6">
        <f>G11</f>
        <v>42217</v>
      </c>
      <c r="H151" s="6">
        <f>H11</f>
        <v>42248</v>
      </c>
      <c r="I151" s="6">
        <v>42278</v>
      </c>
    </row>
    <row r="152" spans="3:9" x14ac:dyDescent="0.35">
      <c r="C152" s="5" t="s">
        <v>19</v>
      </c>
      <c r="D152" s="10" t="s">
        <v>25</v>
      </c>
      <c r="E152" s="4">
        <f>E95</f>
        <v>0</v>
      </c>
      <c r="F152" s="4">
        <f>F95</f>
        <v>66050</v>
      </c>
      <c r="G152" s="4">
        <f>G95</f>
        <v>49750</v>
      </c>
      <c r="H152" s="4">
        <f>H95</f>
        <v>63700</v>
      </c>
      <c r="I152" s="4">
        <f>I95</f>
        <v>42200</v>
      </c>
    </row>
    <row r="153" spans="3:9" x14ac:dyDescent="0.35">
      <c r="D153" s="10" t="s">
        <v>26</v>
      </c>
      <c r="E153" s="4">
        <f>E119</f>
        <v>0</v>
      </c>
      <c r="F153" s="4">
        <f t="shared" ref="F153:H153" si="43">F119</f>
        <v>303180</v>
      </c>
      <c r="G153" s="4">
        <f t="shared" si="43"/>
        <v>233460</v>
      </c>
      <c r="H153" s="4">
        <f t="shared" si="43"/>
        <v>231315</v>
      </c>
      <c r="I153" s="4">
        <f t="shared" ref="I153" si="44">I119</f>
        <v>216045</v>
      </c>
    </row>
    <row r="154" spans="3:9" x14ac:dyDescent="0.35">
      <c r="D154" s="10" t="s">
        <v>27</v>
      </c>
      <c r="E154" s="4">
        <f>SUM(E152:E153)</f>
        <v>0</v>
      </c>
      <c r="F154" s="4">
        <f t="shared" ref="F154:H154" si="45">SUM(F152:F153)</f>
        <v>369230</v>
      </c>
      <c r="G154" s="4">
        <f t="shared" si="45"/>
        <v>283210</v>
      </c>
      <c r="H154" s="4">
        <f t="shared" si="45"/>
        <v>295015</v>
      </c>
      <c r="I154" s="4">
        <f t="shared" ref="I154" si="46">SUM(I152:I153)</f>
        <v>258245</v>
      </c>
    </row>
    <row r="155" spans="3:9" x14ac:dyDescent="0.35">
      <c r="D155" s="10"/>
    </row>
    <row r="160" spans="3:9" x14ac:dyDescent="0.35">
      <c r="E160" s="6"/>
      <c r="F160" s="6"/>
      <c r="G160" s="6"/>
      <c r="H160" s="6"/>
    </row>
    <row r="161" spans="4:17" x14ac:dyDescent="0.35">
      <c r="D161" s="10"/>
    </row>
    <row r="162" spans="4:17" x14ac:dyDescent="0.35">
      <c r="D162" s="10"/>
    </row>
    <row r="163" spans="4:17" x14ac:dyDescent="0.35">
      <c r="D163" s="10"/>
    </row>
    <row r="164" spans="4:17" x14ac:dyDescent="0.35">
      <c r="D164" s="10"/>
    </row>
    <row r="165" spans="4:17" x14ac:dyDescent="0.35">
      <c r="D165" s="10"/>
    </row>
    <row r="166" spans="4:17" x14ac:dyDescent="0.35">
      <c r="D166" s="10"/>
    </row>
    <row r="173" spans="4:17" x14ac:dyDescent="0.35">
      <c r="L173" s="5"/>
      <c r="N173" s="6"/>
      <c r="O173" s="6"/>
      <c r="P173" s="6"/>
      <c r="Q173" s="6"/>
    </row>
    <row r="174" spans="4:17" x14ac:dyDescent="0.35">
      <c r="M174" s="10"/>
    </row>
    <row r="175" spans="4:17" x14ac:dyDescent="0.35">
      <c r="M175" s="10"/>
    </row>
    <row r="177" spans="3:17" x14ac:dyDescent="0.35">
      <c r="L177" s="5"/>
      <c r="N177" s="6"/>
      <c r="O177" s="6"/>
      <c r="P177" s="6"/>
      <c r="Q177" s="6"/>
    </row>
    <row r="178" spans="3:17" x14ac:dyDescent="0.35">
      <c r="M178" s="10"/>
      <c r="P178" s="9"/>
    </row>
    <row r="179" spans="3:17" x14ac:dyDescent="0.35">
      <c r="M179" s="10"/>
    </row>
    <row r="181" spans="3:17" x14ac:dyDescent="0.35">
      <c r="L181" s="5"/>
      <c r="N181" s="6"/>
      <c r="O181" s="6"/>
      <c r="P181" s="6"/>
      <c r="Q181" s="6"/>
    </row>
    <row r="182" spans="3:17" x14ac:dyDescent="0.35">
      <c r="M182" s="10"/>
    </row>
    <row r="186" spans="3:17" x14ac:dyDescent="0.35">
      <c r="L186" s="5"/>
      <c r="N186" s="6"/>
      <c r="O186" s="6"/>
      <c r="P186" s="6"/>
      <c r="Q186" s="6"/>
    </row>
    <row r="187" spans="3:17" x14ac:dyDescent="0.35">
      <c r="M187" s="10"/>
    </row>
    <row r="188" spans="3:17" x14ac:dyDescent="0.35">
      <c r="L188" s="5"/>
      <c r="N188" s="6"/>
      <c r="O188" s="6"/>
      <c r="P188" s="6"/>
      <c r="Q188" s="6"/>
    </row>
    <row r="189" spans="3:17" x14ac:dyDescent="0.35">
      <c r="M189" s="10"/>
    </row>
    <row r="190" spans="3:17" x14ac:dyDescent="0.35">
      <c r="M190" s="10"/>
    </row>
    <row r="191" spans="3:17" x14ac:dyDescent="0.35">
      <c r="C191" s="5"/>
      <c r="E191" s="6"/>
      <c r="F191" s="6"/>
      <c r="G191" s="6"/>
      <c r="H191" s="6"/>
    </row>
    <row r="192" spans="3:17" x14ac:dyDescent="0.35">
      <c r="D192" s="10"/>
      <c r="G192" s="7"/>
    </row>
    <row r="193" spans="3:18" x14ac:dyDescent="0.35">
      <c r="D193" s="10"/>
    </row>
    <row r="194" spans="3:18" x14ac:dyDescent="0.35">
      <c r="M194" s="5"/>
      <c r="O194" s="6"/>
      <c r="P194" s="6"/>
      <c r="Q194" s="6"/>
      <c r="R194" s="6"/>
    </row>
    <row r="195" spans="3:18" x14ac:dyDescent="0.35">
      <c r="C195" s="3"/>
      <c r="E195" s="6"/>
      <c r="F195" s="6"/>
      <c r="G195" s="6"/>
      <c r="H195" s="6"/>
      <c r="N195" s="10"/>
    </row>
    <row r="196" spans="3:18" x14ac:dyDescent="0.35">
      <c r="D196" s="10"/>
      <c r="N196" s="1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65"/>
  <sheetViews>
    <sheetView topLeftCell="C22" workbookViewId="0">
      <selection activeCell="K63" sqref="K63"/>
    </sheetView>
  </sheetViews>
  <sheetFormatPr defaultRowHeight="16.5" x14ac:dyDescent="0.35"/>
  <cols>
    <col min="1" max="2" width="9" style="20"/>
    <col min="3" max="3" width="17.625" style="20" bestFit="1" customWidth="1"/>
    <col min="4" max="5" width="11.25" style="20" bestFit="1" customWidth="1"/>
    <col min="6" max="6" width="12.875" style="20" bestFit="1" customWidth="1"/>
    <col min="7" max="8" width="16.375" style="20" bestFit="1" customWidth="1"/>
    <col min="9" max="9" width="17.25" style="20" bestFit="1" customWidth="1"/>
    <col min="10" max="16384" width="9" style="20"/>
  </cols>
  <sheetData>
    <row r="1" spans="3:9" x14ac:dyDescent="0.35">
      <c r="C1" s="20" t="s">
        <v>45</v>
      </c>
    </row>
    <row r="2" spans="3:9" x14ac:dyDescent="0.35">
      <c r="C2" s="20" t="s">
        <v>46</v>
      </c>
    </row>
    <row r="3" spans="3:9" x14ac:dyDescent="0.35">
      <c r="C3" s="10" t="s">
        <v>15</v>
      </c>
      <c r="D3" s="23">
        <v>0.18</v>
      </c>
    </row>
    <row r="4" spans="3:9" x14ac:dyDescent="0.35">
      <c r="C4" s="10" t="s">
        <v>16</v>
      </c>
      <c r="D4" s="23">
        <v>0.22</v>
      </c>
    </row>
    <row r="5" spans="3:9" x14ac:dyDescent="0.35">
      <c r="C5" s="10" t="s">
        <v>17</v>
      </c>
      <c r="D5" s="23">
        <v>0.18</v>
      </c>
    </row>
    <row r="6" spans="3:9" x14ac:dyDescent="0.35">
      <c r="C6" s="10" t="s">
        <v>18</v>
      </c>
      <c r="D6" s="23">
        <v>0.25</v>
      </c>
    </row>
    <row r="7" spans="3:9" x14ac:dyDescent="0.35">
      <c r="C7" s="10" t="s">
        <v>19</v>
      </c>
      <c r="D7" s="23">
        <v>0.22</v>
      </c>
    </row>
    <row r="9" spans="3:9" x14ac:dyDescent="0.35">
      <c r="D9" s="21">
        <v>42156</v>
      </c>
      <c r="E9" s="21">
        <v>42186</v>
      </c>
      <c r="F9" s="21">
        <v>42217</v>
      </c>
      <c r="G9" s="21">
        <v>42248</v>
      </c>
      <c r="H9" s="6">
        <v>42278</v>
      </c>
    </row>
    <row r="10" spans="3:9" x14ac:dyDescent="0.35">
      <c r="C10" s="20" t="s">
        <v>42</v>
      </c>
      <c r="F10" s="20">
        <v>32.5</v>
      </c>
      <c r="H10" s="20">
        <v>32.44</v>
      </c>
    </row>
    <row r="11" spans="3:9" x14ac:dyDescent="0.35">
      <c r="C11" s="10" t="s">
        <v>43</v>
      </c>
    </row>
    <row r="12" spans="3:9" x14ac:dyDescent="0.35">
      <c r="C12" s="10"/>
    </row>
    <row r="13" spans="3:9" x14ac:dyDescent="0.35">
      <c r="C13" s="10"/>
    </row>
    <row r="14" spans="3:9" x14ac:dyDescent="0.35">
      <c r="C14" s="10"/>
    </row>
    <row r="16" spans="3:9" x14ac:dyDescent="0.35">
      <c r="C16" s="5" t="s">
        <v>15</v>
      </c>
      <c r="D16" s="21">
        <v>42156</v>
      </c>
      <c r="E16" s="19">
        <v>42186</v>
      </c>
      <c r="F16" s="21">
        <v>42217</v>
      </c>
      <c r="G16" s="19">
        <v>42248</v>
      </c>
      <c r="H16" s="6">
        <v>42278</v>
      </c>
      <c r="I16" s="19">
        <v>42309</v>
      </c>
    </row>
    <row r="17" spans="3:9" x14ac:dyDescent="0.35">
      <c r="C17" s="20" t="s">
        <v>5</v>
      </c>
      <c r="F17" s="24">
        <f>数据—淘米方!G$124</f>
        <v>439485</v>
      </c>
      <c r="G17" s="24">
        <f>数据—淘米方!H$124</f>
        <v>324313</v>
      </c>
      <c r="H17" s="24">
        <f>数据—淘米方!I$124</f>
        <v>256149</v>
      </c>
    </row>
    <row r="18" spans="3:9" x14ac:dyDescent="0.35">
      <c r="C18" s="20" t="s">
        <v>36</v>
      </c>
      <c r="F18" s="24">
        <v>7659</v>
      </c>
      <c r="G18" s="24">
        <v>7660</v>
      </c>
      <c r="H18" s="24">
        <v>2000</v>
      </c>
    </row>
    <row r="19" spans="3:9" x14ac:dyDescent="0.35">
      <c r="C19" s="20" t="s">
        <v>37</v>
      </c>
      <c r="F19" s="24">
        <f>F17-F18</f>
        <v>431826</v>
      </c>
      <c r="G19" s="24">
        <f t="shared" ref="G19:H19" si="0">G17-G18</f>
        <v>316653</v>
      </c>
      <c r="H19" s="24">
        <f t="shared" si="0"/>
        <v>254149</v>
      </c>
    </row>
    <row r="20" spans="3:9" x14ac:dyDescent="0.35">
      <c r="C20" s="20" t="s">
        <v>44</v>
      </c>
      <c r="F20" s="24">
        <f>ROUND(F19*$D$3,0)</f>
        <v>77729</v>
      </c>
      <c r="G20" s="24">
        <f t="shared" ref="G20:H20" si="1">ROUND(G19*$D$3,0)</f>
        <v>56998</v>
      </c>
      <c r="H20" s="24">
        <f t="shared" si="1"/>
        <v>45747</v>
      </c>
    </row>
    <row r="21" spans="3:9" x14ac:dyDescent="0.35">
      <c r="C21" s="20" t="s">
        <v>38</v>
      </c>
      <c r="F21" s="24">
        <f>ROUND(F20*0.2,0)</f>
        <v>15546</v>
      </c>
      <c r="G21" s="24">
        <f t="shared" ref="G21:H21" si="2">ROUND(G20*0.2,0)</f>
        <v>11400</v>
      </c>
      <c r="H21" s="24">
        <f t="shared" si="2"/>
        <v>9149</v>
      </c>
    </row>
    <row r="22" spans="3:9" x14ac:dyDescent="0.35">
      <c r="C22" s="20" t="s">
        <v>39</v>
      </c>
      <c r="F22" s="24">
        <f>F20-F21</f>
        <v>62183</v>
      </c>
      <c r="G22" s="24">
        <f t="shared" ref="G22:H22" si="3">G20-G21</f>
        <v>45598</v>
      </c>
      <c r="H22" s="24">
        <f t="shared" si="3"/>
        <v>36598</v>
      </c>
    </row>
    <row r="23" spans="3:9" s="25" customFormat="1" x14ac:dyDescent="0.35">
      <c r="C23" s="25" t="s">
        <v>40</v>
      </c>
      <c r="F23" s="26">
        <f>ROUND(F22/F10,2)</f>
        <v>1913.32</v>
      </c>
      <c r="G23" s="26" t="e">
        <f t="shared" ref="G23:H23" si="4">ROUND(G22/G10,2)</f>
        <v>#DIV/0!</v>
      </c>
      <c r="H23" s="26">
        <f t="shared" si="4"/>
        <v>1128.18</v>
      </c>
    </row>
    <row r="24" spans="3:9" x14ac:dyDescent="0.35">
      <c r="C24" s="20" t="s">
        <v>41</v>
      </c>
    </row>
    <row r="26" spans="3:9" x14ac:dyDescent="0.35">
      <c r="C26" s="5" t="s">
        <v>16</v>
      </c>
      <c r="D26" s="21">
        <v>42156</v>
      </c>
      <c r="E26" s="19">
        <v>42186</v>
      </c>
      <c r="F26" s="21">
        <v>42217</v>
      </c>
      <c r="G26" s="19">
        <v>42248</v>
      </c>
      <c r="H26" s="6">
        <v>42278</v>
      </c>
      <c r="I26" s="19">
        <v>42309</v>
      </c>
    </row>
    <row r="27" spans="3:9" x14ac:dyDescent="0.35">
      <c r="C27" s="20" t="s">
        <v>5</v>
      </c>
      <c r="F27" s="24">
        <f>数据—淘米方!G$125</f>
        <v>2131425</v>
      </c>
      <c r="H27" s="20">
        <v>1659395</v>
      </c>
    </row>
    <row r="28" spans="3:9" x14ac:dyDescent="0.35">
      <c r="C28" s="20" t="s">
        <v>36</v>
      </c>
      <c r="F28" s="24">
        <v>5580</v>
      </c>
      <c r="H28" s="20">
        <v>15050</v>
      </c>
    </row>
    <row r="29" spans="3:9" x14ac:dyDescent="0.35">
      <c r="C29" s="20" t="s">
        <v>37</v>
      </c>
      <c r="F29" s="24">
        <f>F27-F28</f>
        <v>2125845</v>
      </c>
      <c r="G29" s="24">
        <f t="shared" ref="G29:H29" si="5">G27-G28</f>
        <v>0</v>
      </c>
      <c r="H29" s="24">
        <f t="shared" si="5"/>
        <v>1644345</v>
      </c>
    </row>
    <row r="30" spans="3:9" x14ac:dyDescent="0.35">
      <c r="C30" s="20" t="s">
        <v>44</v>
      </c>
      <c r="F30" s="24">
        <f>ROUND(F29*$D$4,0)</f>
        <v>467686</v>
      </c>
      <c r="G30" s="24">
        <f t="shared" ref="G30:H30" si="6">ROUND(G29*$D$4,0)</f>
        <v>0</v>
      </c>
      <c r="H30" s="24">
        <f t="shared" si="6"/>
        <v>361756</v>
      </c>
    </row>
    <row r="31" spans="3:9" x14ac:dyDescent="0.35">
      <c r="C31" s="20" t="s">
        <v>38</v>
      </c>
      <c r="F31" s="24">
        <f>ROUND(F30*0.2,0)</f>
        <v>93537</v>
      </c>
      <c r="G31" s="24">
        <f t="shared" ref="G31:H31" si="7">ROUND(G30*0.2,0)</f>
        <v>0</v>
      </c>
      <c r="H31" s="24">
        <f t="shared" si="7"/>
        <v>72351</v>
      </c>
    </row>
    <row r="32" spans="3:9" x14ac:dyDescent="0.35">
      <c r="C32" s="20" t="s">
        <v>39</v>
      </c>
      <c r="F32" s="24">
        <f>F30-F31</f>
        <v>374149</v>
      </c>
      <c r="G32" s="24">
        <f t="shared" ref="G32:H32" si="8">G30-G31</f>
        <v>0</v>
      </c>
      <c r="H32" s="24">
        <f t="shared" si="8"/>
        <v>289405</v>
      </c>
    </row>
    <row r="33" spans="3:9" s="25" customFormat="1" x14ac:dyDescent="0.35">
      <c r="C33" s="25" t="s">
        <v>48</v>
      </c>
      <c r="F33" s="26">
        <f>ROUND(F32/F$10,2)</f>
        <v>11512.28</v>
      </c>
      <c r="G33" s="26" t="e">
        <f t="shared" ref="G33:H33" si="9">ROUND(G32/G$10,2)</f>
        <v>#DIV/0!</v>
      </c>
      <c r="H33" s="26">
        <f t="shared" si="9"/>
        <v>8921.24</v>
      </c>
    </row>
    <row r="34" spans="3:9" x14ac:dyDescent="0.35">
      <c r="C34" s="20" t="s">
        <v>41</v>
      </c>
    </row>
    <row r="36" spans="3:9" x14ac:dyDescent="0.35">
      <c r="C36" s="5" t="s">
        <v>17</v>
      </c>
      <c r="D36" s="21">
        <v>42156</v>
      </c>
      <c r="E36" s="19">
        <v>42186</v>
      </c>
      <c r="F36" s="21">
        <v>42217</v>
      </c>
      <c r="G36" s="19">
        <v>42248</v>
      </c>
      <c r="H36" s="6">
        <v>42278</v>
      </c>
      <c r="I36" s="19">
        <v>42309</v>
      </c>
    </row>
    <row r="37" spans="3:9" x14ac:dyDescent="0.35">
      <c r="C37" s="20" t="s">
        <v>5</v>
      </c>
      <c r="F37" s="20">
        <f>数据—淘米方!G$126</f>
        <v>1451530</v>
      </c>
      <c r="H37" s="20">
        <f>数据—淘米方!I$126</f>
        <v>1025420</v>
      </c>
    </row>
    <row r="38" spans="3:9" x14ac:dyDescent="0.35">
      <c r="C38" s="20" t="s">
        <v>36</v>
      </c>
      <c r="F38" s="20">
        <v>31695</v>
      </c>
      <c r="H38" s="20">
        <v>1555</v>
      </c>
    </row>
    <row r="39" spans="3:9" x14ac:dyDescent="0.35">
      <c r="C39" s="20" t="s">
        <v>37</v>
      </c>
      <c r="F39" s="20">
        <f>F37-F38</f>
        <v>1419835</v>
      </c>
      <c r="H39" s="20">
        <f t="shared" ref="H39" si="10">H37-H38</f>
        <v>1023865</v>
      </c>
    </row>
    <row r="40" spans="3:9" x14ac:dyDescent="0.35">
      <c r="C40" s="20" t="s">
        <v>44</v>
      </c>
      <c r="F40" s="22">
        <f>ROUND(F39*$D$5,0)</f>
        <v>255570</v>
      </c>
      <c r="G40" s="22"/>
      <c r="H40" s="22">
        <f t="shared" ref="H40" si="11">ROUND(H39*$D$5,0)</f>
        <v>184296</v>
      </c>
    </row>
    <row r="41" spans="3:9" x14ac:dyDescent="0.35">
      <c r="C41" s="20" t="s">
        <v>38</v>
      </c>
      <c r="F41" s="22">
        <f>ROUND(F40*0.2,0)</f>
        <v>51114</v>
      </c>
      <c r="G41" s="22"/>
      <c r="H41" s="22">
        <f t="shared" ref="H41" si="12">ROUND(H40*0.2,0)</f>
        <v>36859</v>
      </c>
    </row>
    <row r="42" spans="3:9" x14ac:dyDescent="0.35">
      <c r="C42" s="20" t="s">
        <v>39</v>
      </c>
      <c r="F42" s="22">
        <f>F40-F41</f>
        <v>204456</v>
      </c>
      <c r="G42" s="22"/>
      <c r="H42" s="22">
        <f t="shared" ref="H42" si="13">H40-H41</f>
        <v>147437</v>
      </c>
    </row>
    <row r="43" spans="3:9" s="25" customFormat="1" x14ac:dyDescent="0.35">
      <c r="C43" s="25" t="s">
        <v>49</v>
      </c>
      <c r="F43" s="26">
        <f>ROUND(F42/F$10,2)</f>
        <v>6290.95</v>
      </c>
      <c r="G43" s="26"/>
      <c r="H43" s="26">
        <f t="shared" ref="H43" si="14">ROUND(H42/H$10,2)</f>
        <v>4544.91</v>
      </c>
    </row>
    <row r="44" spans="3:9" x14ac:dyDescent="0.35">
      <c r="C44" s="20" t="s">
        <v>41</v>
      </c>
    </row>
    <row r="47" spans="3:9" x14ac:dyDescent="0.35">
      <c r="C47" s="5" t="s">
        <v>18</v>
      </c>
      <c r="D47" s="21">
        <v>42156</v>
      </c>
      <c r="E47" s="19">
        <v>42186</v>
      </c>
      <c r="F47" s="21">
        <v>42217</v>
      </c>
      <c r="G47" s="19">
        <v>42248</v>
      </c>
      <c r="H47" s="6">
        <v>42278</v>
      </c>
      <c r="I47" s="19">
        <v>42309</v>
      </c>
    </row>
    <row r="48" spans="3:9" x14ac:dyDescent="0.35">
      <c r="C48" s="20" t="s">
        <v>5</v>
      </c>
      <c r="F48" s="20">
        <f>数据—淘米方!G$127</f>
        <v>308395</v>
      </c>
      <c r="H48" s="20">
        <v>105735</v>
      </c>
    </row>
    <row r="49" spans="3:9" x14ac:dyDescent="0.35">
      <c r="C49" s="20" t="s">
        <v>36</v>
      </c>
      <c r="F49" s="20">
        <v>13821</v>
      </c>
      <c r="H49" s="20">
        <v>1001</v>
      </c>
    </row>
    <row r="50" spans="3:9" x14ac:dyDescent="0.35">
      <c r="C50" s="20" t="s">
        <v>37</v>
      </c>
      <c r="F50" s="20">
        <f>F48-F49</f>
        <v>294574</v>
      </c>
      <c r="G50" s="20">
        <f t="shared" ref="G50:H50" si="15">G48-G49</f>
        <v>0</v>
      </c>
      <c r="H50" s="20">
        <f t="shared" si="15"/>
        <v>104734</v>
      </c>
    </row>
    <row r="51" spans="3:9" x14ac:dyDescent="0.35">
      <c r="C51" s="20" t="s">
        <v>44</v>
      </c>
      <c r="F51" s="22">
        <f>ROUND(F50*$D$6,0)</f>
        <v>73644</v>
      </c>
      <c r="G51" s="22">
        <f t="shared" ref="G51:H51" si="16">ROUND(G50*$D$6,0)</f>
        <v>0</v>
      </c>
      <c r="H51" s="22">
        <f t="shared" si="16"/>
        <v>26184</v>
      </c>
    </row>
    <row r="52" spans="3:9" x14ac:dyDescent="0.35">
      <c r="C52" s="20" t="s">
        <v>38</v>
      </c>
      <c r="F52" s="22">
        <f>ROUND(F51*0.2,0)</f>
        <v>14729</v>
      </c>
      <c r="G52" s="22">
        <f t="shared" ref="G52:H52" si="17">ROUND(G51*0.2,0)</f>
        <v>0</v>
      </c>
      <c r="H52" s="22">
        <f t="shared" si="17"/>
        <v>5237</v>
      </c>
    </row>
    <row r="53" spans="3:9" x14ac:dyDescent="0.35">
      <c r="C53" s="20" t="s">
        <v>39</v>
      </c>
      <c r="F53" s="22">
        <f>F51-F52</f>
        <v>58915</v>
      </c>
      <c r="G53" s="22">
        <f t="shared" ref="G53:H53" si="18">G51-G52</f>
        <v>0</v>
      </c>
      <c r="H53" s="22">
        <f t="shared" si="18"/>
        <v>20947</v>
      </c>
    </row>
    <row r="54" spans="3:9" s="25" customFormat="1" x14ac:dyDescent="0.35">
      <c r="C54" s="25" t="s">
        <v>50</v>
      </c>
      <c r="F54" s="26">
        <f>ROUND(F53/F$10,2)</f>
        <v>1812.77</v>
      </c>
      <c r="G54" s="26" t="e">
        <f t="shared" ref="G54:H54" si="19">ROUND(G53/G$10,2)</f>
        <v>#DIV/0!</v>
      </c>
      <c r="H54" s="26">
        <f t="shared" si="19"/>
        <v>645.72</v>
      </c>
    </row>
    <row r="55" spans="3:9" x14ac:dyDescent="0.35">
      <c r="C55" s="20" t="s">
        <v>41</v>
      </c>
    </row>
    <row r="57" spans="3:9" x14ac:dyDescent="0.35">
      <c r="C57" s="5" t="s">
        <v>19</v>
      </c>
      <c r="D57" s="21">
        <v>42156</v>
      </c>
      <c r="E57" s="19">
        <v>42186</v>
      </c>
      <c r="F57" s="21">
        <v>42217</v>
      </c>
      <c r="G57" s="19">
        <v>42248</v>
      </c>
      <c r="H57" s="6">
        <v>42278</v>
      </c>
      <c r="I57" s="19">
        <v>42309</v>
      </c>
    </row>
    <row r="58" spans="3:9" x14ac:dyDescent="0.35">
      <c r="C58" s="20" t="s">
        <v>5</v>
      </c>
      <c r="F58" s="20">
        <f>数据—淘米方!G$128</f>
        <v>283210</v>
      </c>
      <c r="H58" s="20">
        <v>258245</v>
      </c>
    </row>
    <row r="59" spans="3:9" x14ac:dyDescent="0.35">
      <c r="C59" s="20" t="s">
        <v>36</v>
      </c>
      <c r="F59" s="20">
        <v>3530</v>
      </c>
      <c r="H59" s="20">
        <v>8615</v>
      </c>
    </row>
    <row r="60" spans="3:9" x14ac:dyDescent="0.35">
      <c r="C60" s="20" t="s">
        <v>37</v>
      </c>
      <c r="F60" s="20">
        <f>F58-F59</f>
        <v>279680</v>
      </c>
      <c r="G60" s="20">
        <f t="shared" ref="G60:H60" si="20">G58-G59</f>
        <v>0</v>
      </c>
      <c r="H60" s="20">
        <f t="shared" si="20"/>
        <v>249630</v>
      </c>
    </row>
    <row r="61" spans="3:9" x14ac:dyDescent="0.35">
      <c r="C61" s="20" t="s">
        <v>44</v>
      </c>
      <c r="F61" s="22">
        <f>ROUND(F60*$D$7,0)</f>
        <v>61530</v>
      </c>
      <c r="G61" s="22">
        <f t="shared" ref="G61:H61" si="21">ROUND(G60*$D$7,0)</f>
        <v>0</v>
      </c>
      <c r="H61" s="22">
        <f t="shared" si="21"/>
        <v>54919</v>
      </c>
    </row>
    <row r="62" spans="3:9" x14ac:dyDescent="0.35">
      <c r="C62" s="20" t="s">
        <v>38</v>
      </c>
      <c r="F62" s="22">
        <f>ROUND(F61*0.2,0)</f>
        <v>12306</v>
      </c>
      <c r="G62" s="22">
        <f t="shared" ref="G62:H62" si="22">ROUND(G61*0.2,0)</f>
        <v>0</v>
      </c>
      <c r="H62" s="22">
        <f t="shared" si="22"/>
        <v>10984</v>
      </c>
    </row>
    <row r="63" spans="3:9" x14ac:dyDescent="0.35">
      <c r="C63" s="20" t="s">
        <v>39</v>
      </c>
      <c r="F63" s="22">
        <f>F61-F62</f>
        <v>49224</v>
      </c>
      <c r="G63" s="22">
        <f t="shared" ref="G63:H63" si="23">G61-G62</f>
        <v>0</v>
      </c>
      <c r="H63" s="22">
        <f t="shared" si="23"/>
        <v>43935</v>
      </c>
    </row>
    <row r="64" spans="3:9" s="25" customFormat="1" x14ac:dyDescent="0.35">
      <c r="C64" s="25" t="s">
        <v>40</v>
      </c>
      <c r="F64" s="26">
        <f>ROUND(F63/F$10,2)</f>
        <v>1514.58</v>
      </c>
      <c r="G64" s="26" t="e">
        <f t="shared" ref="G64:H64" si="24">ROUND(G63/G$10,2)</f>
        <v>#DIV/0!</v>
      </c>
      <c r="H64" s="26">
        <f t="shared" si="24"/>
        <v>1354.35</v>
      </c>
    </row>
    <row r="65" spans="3:3" x14ac:dyDescent="0.35">
      <c r="C65" s="20" t="s">
        <v>41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数据—淘米方</vt:lpstr>
      <vt:lpstr>数据-对账后分成收入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2015-12-01T07:01:02Z</dcterms:modified>
</cp:coreProperties>
</file>