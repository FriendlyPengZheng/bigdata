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统计平台建设\【版本20150213】月报发送—内部\"/>
    </mc:Choice>
  </mc:AlternateContent>
  <bookViews>
    <workbookView xWindow="0" yWindow="0" windowWidth="28800" windowHeight="12390"/>
  </bookViews>
  <sheets>
    <sheet name="赛尔号（填项目名）" sheetId="1" r:id="rId1"/>
    <sheet name="指标定义" sheetId="4" r:id="rId2"/>
    <sheet name="指标定义-旧" sheetId="3" r:id="rId3"/>
  </sheets>
  <calcPr calcId="152511"/>
</workbook>
</file>

<file path=xl/calcChain.xml><?xml version="1.0" encoding="utf-8"?>
<calcChain xmlns="http://schemas.openxmlformats.org/spreadsheetml/2006/main">
  <c r="O92" i="1" l="1"/>
</calcChain>
</file>

<file path=xl/sharedStrings.xml><?xml version="1.0" encoding="utf-8"?>
<sst xmlns="http://schemas.openxmlformats.org/spreadsheetml/2006/main" count="370" uniqueCount="222">
  <si>
    <t>活跃用户</t>
  </si>
  <si>
    <t>活跃用户增长率</t>
  </si>
  <si>
    <t>有效活跃用户</t>
  </si>
  <si>
    <t>有效活跃用户增长率</t>
  </si>
  <si>
    <t>新增活跃用户占比</t>
  </si>
  <si>
    <t>留存用户占比</t>
  </si>
  <si>
    <t>回流用户占比</t>
  </si>
  <si>
    <t>新增注册角色</t>
  </si>
  <si>
    <t>新增活跃用户</t>
  </si>
  <si>
    <t>新增活跃用户增长率</t>
  </si>
  <si>
    <t>留存用户</t>
  </si>
  <si>
    <t>留存用户增长率</t>
  </si>
  <si>
    <t>回流用户</t>
  </si>
  <si>
    <t>回流用户增长率</t>
  </si>
  <si>
    <t>流失用户</t>
  </si>
  <si>
    <t>流失用户增长率</t>
  </si>
  <si>
    <t>流失率</t>
  </si>
  <si>
    <t>上月新增活跃用户本月流失数</t>
  </si>
  <si>
    <t>上月留存用户本月流失数</t>
  </si>
  <si>
    <t>上月总体回流用户本月流失数</t>
  </si>
  <si>
    <t>上月三个月回流用户本月流失数</t>
  </si>
  <si>
    <t>PCU</t>
  </si>
  <si>
    <t>PCU增长率</t>
  </si>
  <si>
    <t>ACU</t>
  </si>
  <si>
    <t>ACU增长率</t>
  </si>
  <si>
    <t>活跃用户日平均在线时长</t>
  </si>
  <si>
    <t>新增用户日平均在线时长</t>
  </si>
  <si>
    <t>留存用户日平均在线时长</t>
  </si>
  <si>
    <t>回流用户日平均在线时长</t>
  </si>
  <si>
    <t>活跃用户月平均登录天数</t>
  </si>
  <si>
    <t>新增用户月平均登录天数</t>
  </si>
  <si>
    <t>留存用户月平均登录天数</t>
  </si>
  <si>
    <t>回流用户月平均登录天数</t>
  </si>
  <si>
    <t>总体支付情况</t>
  </si>
  <si>
    <t>付费总额</t>
  </si>
  <si>
    <t>付费总额增长率</t>
  </si>
  <si>
    <t>付费用户数</t>
  </si>
  <si>
    <t>付费用户增长率</t>
  </si>
  <si>
    <t>纯新增付费用户数</t>
  </si>
  <si>
    <t>历史转化新增付费用户数</t>
  </si>
  <si>
    <t>活跃付费用户数</t>
  </si>
  <si>
    <t>回流付费用户数</t>
  </si>
  <si>
    <t>历史转化新增付费用户占比</t>
  </si>
  <si>
    <t>回流付费用户占比</t>
  </si>
  <si>
    <t>付费渗透率</t>
  </si>
  <si>
    <t>付费用户arppu值</t>
  </si>
  <si>
    <t>包月支付情况</t>
  </si>
  <si>
    <t>包月支付总额</t>
  </si>
  <si>
    <t>包月支付总额增长率</t>
  </si>
  <si>
    <t>包月支付用户数</t>
  </si>
  <si>
    <t>包月支付用户数增长率</t>
  </si>
  <si>
    <t>包月支付arppu值</t>
  </si>
  <si>
    <t>包月支付arppu值增长率</t>
  </si>
  <si>
    <t>按条支付情况</t>
  </si>
  <si>
    <t>按条支付总额</t>
  </si>
  <si>
    <t>按条支付总额增长率</t>
  </si>
  <si>
    <t>按条支付用户数</t>
  </si>
  <si>
    <t>按条支付用户数增长率</t>
  </si>
  <si>
    <t>按条支付arppu值</t>
  </si>
  <si>
    <t>按条支付arppu值增长率</t>
  </si>
  <si>
    <t>用户活跃及流失情况</t>
  </si>
  <si>
    <t>定义</t>
  </si>
  <si>
    <t>本月登录游戏至少一次的用户</t>
  </si>
  <si>
    <t>本月注册游戏角色的用户</t>
  </si>
  <si>
    <t>新增注册角色且登录的用户</t>
  </si>
  <si>
    <t>上月是活跃用户, 本月未登录的用户</t>
  </si>
  <si>
    <t>本月流失用户占上月活跃用户的比例</t>
  </si>
  <si>
    <t>上月是新增活跃用户, 本月未登录的用户</t>
  </si>
  <si>
    <t>上月是留存用户, 本月未登录的用户</t>
  </si>
  <si>
    <t>上月是总体回流用户, 本月未登录的用户</t>
  </si>
  <si>
    <t>上月是三个月回流用户, 本月未登录的用户</t>
  </si>
  <si>
    <t>本月最高在线用户数</t>
  </si>
  <si>
    <t xml:space="preserve"> </t>
  </si>
  <si>
    <t>活跃用户的在线总时长 / 活跃用户在线总天数</t>
  </si>
  <si>
    <t>新增用户的在线总时长 / 新增用户在线总天数</t>
  </si>
  <si>
    <t>留存用户的在线总时长 / 留存用户在线总天数</t>
  </si>
  <si>
    <t>回流用户的在线总时长 / 回流用户在线总天数</t>
  </si>
  <si>
    <t>活跃用户的在线总天数 / 活跃用户数</t>
  </si>
  <si>
    <t>新增用户的在线总天数 / 新增用户数</t>
  </si>
  <si>
    <t>留存用户的在线总天数 / 留存用户数</t>
  </si>
  <si>
    <t>回流用户的在线总天数 / 回流用户数</t>
  </si>
  <si>
    <t>本月产生付费行为的用户数</t>
  </si>
  <si>
    <t>本月是新增活跃用户, 并且有付费行为的用户</t>
  </si>
  <si>
    <t>付费用户占活跃用户的比例</t>
  </si>
  <si>
    <t>平均每付费用户贡献的收入额(米币)</t>
  </si>
  <si>
    <t>VIP包月行为产生的付费额(米币)</t>
  </si>
  <si>
    <t>VIP包月行为的用户数</t>
  </si>
  <si>
    <t>平均每个vip包月用户贡献的收入额(米币)</t>
  </si>
  <si>
    <t>道具按条行为产生的付费额</t>
  </si>
  <si>
    <t>道具按条行为的用户</t>
  </si>
  <si>
    <t>平均每个道具按条用户贡献的收入额(米币)</t>
  </si>
  <si>
    <t>付费用户月平均登录天数</t>
    <phoneticPr fontId="2" type="noConversion"/>
  </si>
  <si>
    <t>上月新增活跃用户本月流失率</t>
  </si>
  <si>
    <t>上月留存用户本月流失率</t>
  </si>
  <si>
    <t>留存用户付费率</t>
    <phoneticPr fontId="2" type="noConversion"/>
  </si>
  <si>
    <t>回流用户付费率</t>
    <phoneticPr fontId="2" type="noConversion"/>
  </si>
  <si>
    <t>付费率</t>
    <phoneticPr fontId="2" type="noConversion"/>
  </si>
  <si>
    <t>纯新增付费用户数</t>
    <phoneticPr fontId="2" type="noConversion"/>
  </si>
  <si>
    <t>纯新增付费用户占比</t>
    <phoneticPr fontId="2" type="noConversion"/>
  </si>
  <si>
    <t>新增用户付费率</t>
    <phoneticPr fontId="2" type="noConversion"/>
  </si>
  <si>
    <t>新增用户中的付费用户数</t>
    <phoneticPr fontId="2" type="noConversion"/>
  </si>
  <si>
    <t>留存用户中的付费用户数</t>
    <phoneticPr fontId="2" type="noConversion"/>
  </si>
  <si>
    <t>回流用户中的付费用户数</t>
    <phoneticPr fontId="2" type="noConversion"/>
  </si>
  <si>
    <t>纯新增付费用户付费额</t>
  </si>
  <si>
    <t>历史转化新增付费用户付费额</t>
  </si>
  <si>
    <t>回流付费用户付费额</t>
  </si>
  <si>
    <t>新增用户付费额</t>
    <phoneticPr fontId="2" type="noConversion"/>
  </si>
  <si>
    <t>留存用户付费额</t>
    <phoneticPr fontId="2" type="noConversion"/>
  </si>
  <si>
    <t>回流用户付费额</t>
    <phoneticPr fontId="2" type="noConversion"/>
  </si>
  <si>
    <t>基本情况</t>
    <phoneticPr fontId="2" type="noConversion"/>
  </si>
  <si>
    <t>用户占比</t>
    <phoneticPr fontId="2" type="noConversion"/>
  </si>
  <si>
    <t>流失用户</t>
    <phoneticPr fontId="2" type="noConversion"/>
  </si>
  <si>
    <t>上月回流用户本月流失数</t>
    <phoneticPr fontId="2" type="noConversion"/>
  </si>
  <si>
    <t>上月回流用户本月流失率</t>
  </si>
  <si>
    <t>流失率</t>
    <phoneticPr fontId="2" type="noConversion"/>
  </si>
  <si>
    <t>付费用户日平均在线时长</t>
    <phoneticPr fontId="2" type="noConversion"/>
  </si>
  <si>
    <t>arppu值</t>
    <phoneticPr fontId="2" type="noConversion"/>
  </si>
  <si>
    <t>arppu值增长率</t>
    <phoneticPr fontId="2" type="noConversion"/>
  </si>
  <si>
    <t>付费率增长率</t>
    <phoneticPr fontId="2" type="noConversion"/>
  </si>
  <si>
    <t>ARPPU值</t>
    <phoneticPr fontId="2" type="noConversion"/>
  </si>
  <si>
    <t>纯新增付费用户ARPPU值</t>
    <phoneticPr fontId="2" type="noConversion"/>
  </si>
  <si>
    <t>历史转化新增付费用户ARPPU值</t>
  </si>
  <si>
    <t>回流付费用户ARPPU值</t>
  </si>
  <si>
    <t>新增用户ARPPU值</t>
  </si>
  <si>
    <t>留存用户ARPPU值</t>
  </si>
  <si>
    <t>回流用户ARPPU值</t>
  </si>
  <si>
    <t>本月付费总额(米币)</t>
    <phoneticPr fontId="2" type="noConversion"/>
  </si>
  <si>
    <t>本月付费总额(单位：米币)</t>
    <phoneticPr fontId="2" type="noConversion"/>
  </si>
  <si>
    <t>付费总额 / 付费用户数</t>
    <phoneticPr fontId="2" type="noConversion"/>
  </si>
  <si>
    <t>付费用户数 / 活跃用户数</t>
    <phoneticPr fontId="2" type="noConversion"/>
  </si>
  <si>
    <t>本月有付费行为的用户数</t>
    <phoneticPr fontId="2" type="noConversion"/>
  </si>
  <si>
    <t>本月新增用户中，有付费行为的用户 / 新增用户数</t>
    <phoneticPr fontId="2" type="noConversion"/>
  </si>
  <si>
    <t>本月留存用户中，有付费行为的用户 / 留存用户数</t>
    <phoneticPr fontId="2" type="noConversion"/>
  </si>
  <si>
    <t>本月回流用户中，有付费行为的用户 / 回流用户数</t>
    <phoneticPr fontId="2" type="noConversion"/>
  </si>
  <si>
    <t>本月新增用户中，有付费行为的用户</t>
  </si>
  <si>
    <t>同纯新增付费用户数</t>
    <phoneticPr fontId="2" type="noConversion"/>
  </si>
  <si>
    <t>本月前已注册, 本月开始才有付费行为的用户</t>
    <phoneticPr fontId="2" type="noConversion"/>
  </si>
  <si>
    <t>连续两月都付费的用户</t>
    <phoneticPr fontId="2" type="noConversion"/>
  </si>
  <si>
    <t>连续两月付费用户数</t>
    <phoneticPr fontId="2" type="noConversion"/>
  </si>
  <si>
    <t>连续两月都有付费行为的用户</t>
    <phoneticPr fontId="2" type="noConversion"/>
  </si>
  <si>
    <t>上月前付费, 上月未付费, 本月有付费的用户</t>
    <phoneticPr fontId="2" type="noConversion"/>
  </si>
  <si>
    <t>指标定义</t>
    <phoneticPr fontId="2" type="noConversion"/>
  </si>
  <si>
    <t>纯新增付费用户数 / 付费用户数</t>
    <phoneticPr fontId="2" type="noConversion"/>
  </si>
  <si>
    <t>历史转化新增付费用户数 / 付费用户数</t>
    <phoneticPr fontId="2" type="noConversion"/>
  </si>
  <si>
    <t>连续两月付费用户占比</t>
    <phoneticPr fontId="2" type="noConversion"/>
  </si>
  <si>
    <t>连续两月付费用户数 / 付费用户数</t>
    <phoneticPr fontId="2" type="noConversion"/>
  </si>
  <si>
    <t>回流付费用户数 / 付费用户数</t>
    <phoneticPr fontId="2" type="noConversion"/>
  </si>
  <si>
    <t>连续两月付费用户付费额 / 连续两月付费用户数</t>
    <phoneticPr fontId="2" type="noConversion"/>
  </si>
  <si>
    <t>连续两月付费用户ARPPU值</t>
    <phoneticPr fontId="2" type="noConversion"/>
  </si>
  <si>
    <t>回流付费用户付费额 / 回流付费用户数</t>
    <phoneticPr fontId="2" type="noConversion"/>
  </si>
  <si>
    <t>同纯新增付费用户ARPPU值</t>
    <phoneticPr fontId="2" type="noConversion"/>
  </si>
  <si>
    <t>留存用户付费额 / 留存用户数</t>
    <phoneticPr fontId="2" type="noConversion"/>
  </si>
  <si>
    <t>回流用户付费额 / 回流用户数</t>
    <phoneticPr fontId="2" type="noConversion"/>
  </si>
  <si>
    <t>纯新增付费用户付费额 / 纯新增付费用户数</t>
    <phoneticPr fontId="2" type="noConversion"/>
  </si>
  <si>
    <t>历史转化新增付费用户付费额 / 历史转化新增付费用户数</t>
    <phoneticPr fontId="2" type="noConversion"/>
  </si>
  <si>
    <t>连续两月付费用户付费额</t>
    <phoneticPr fontId="2" type="noConversion"/>
  </si>
  <si>
    <t>基本情况</t>
  </si>
  <si>
    <t>基本情况</t>
    <phoneticPr fontId="2" type="noConversion"/>
  </si>
  <si>
    <t>按条</t>
    <phoneticPr fontId="2" type="noConversion"/>
  </si>
  <si>
    <t>包月</t>
    <phoneticPr fontId="2" type="noConversion"/>
  </si>
  <si>
    <t>用户类型</t>
    <phoneticPr fontId="2" type="noConversion"/>
  </si>
  <si>
    <t>分类用户付费额</t>
    <phoneticPr fontId="2" type="noConversion"/>
  </si>
  <si>
    <t>分类用户占比</t>
    <phoneticPr fontId="2" type="noConversion"/>
  </si>
  <si>
    <t>在线情况</t>
    <phoneticPr fontId="2" type="noConversion"/>
  </si>
  <si>
    <t>登录天数</t>
    <phoneticPr fontId="2" type="noConversion"/>
  </si>
  <si>
    <t>在线时长</t>
    <phoneticPr fontId="2" type="noConversion"/>
  </si>
  <si>
    <t>本月至少登录一次服务器的用户</t>
    <phoneticPr fontId="2" type="noConversion"/>
  </si>
  <si>
    <t>月累计在线时长&gt;=3600s的用户</t>
    <phoneticPr fontId="2" type="noConversion"/>
  </si>
  <si>
    <t>本月累计在线时长&gt;=3600秒的用户</t>
    <phoneticPr fontId="2" type="noConversion"/>
  </si>
  <si>
    <t>本月首次登录服务器的新用户</t>
    <phoneticPr fontId="2" type="noConversion"/>
  </si>
  <si>
    <t>上月及本月都至少有一次登录游戏的用户</t>
    <phoneticPr fontId="2" type="noConversion"/>
  </si>
  <si>
    <t>上月及本月都至少有一次登录服务器的用户</t>
    <phoneticPr fontId="2" type="noConversion"/>
  </si>
  <si>
    <t>上月前登录过,上月未登录,本月登录的用户</t>
    <phoneticPr fontId="2" type="noConversion"/>
  </si>
  <si>
    <t>上月前登录过,上月未登录,本月登录的用户</t>
    <phoneticPr fontId="2" type="noConversion"/>
  </si>
  <si>
    <t>上月是活跃用户, 本月未登录的用户</t>
    <phoneticPr fontId="2" type="noConversion"/>
  </si>
  <si>
    <t>流失用户数 / 上月活跃用户数</t>
    <phoneticPr fontId="2" type="noConversion"/>
  </si>
  <si>
    <t>上月新增活跃用户本月流失数</t>
    <phoneticPr fontId="2" type="noConversion"/>
  </si>
  <si>
    <t>上月新增活跃用户本月流失数 / 上月新增活跃用户数</t>
    <phoneticPr fontId="2" type="noConversion"/>
  </si>
  <si>
    <t>上月留存用户本月流失数 / 上月留存用户数</t>
    <phoneticPr fontId="2" type="noConversion"/>
  </si>
  <si>
    <t>上月回流用户本月流失数 / 上月回流用户数</t>
    <phoneticPr fontId="2" type="noConversion"/>
  </si>
  <si>
    <t>本月最高在线用户数</t>
    <phoneticPr fontId="2" type="noConversion"/>
  </si>
  <si>
    <t>本月平均在线人数 = 本月每日6点至24点每分钟平均在线人数之和 / 此阶段所有分钟数</t>
    <phoneticPr fontId="2" type="noConversion"/>
  </si>
  <si>
    <t>本月每日6点至24点每分钟平均在线人数之和 / 此阶段所有分钟数</t>
    <phoneticPr fontId="2" type="noConversion"/>
  </si>
  <si>
    <t>活跃用户的在线总时长 / 活跃用户在线总天数</t>
    <phoneticPr fontId="2" type="noConversion"/>
  </si>
  <si>
    <t>新增用户的在线总时长 / 新增用户在线总天数</t>
    <phoneticPr fontId="2" type="noConversion"/>
  </si>
  <si>
    <t>付费用户的在线总时长 / 付费用户在线总天数</t>
    <phoneticPr fontId="2" type="noConversion"/>
  </si>
  <si>
    <t>付费用户的在线总天数 / 付费用户数</t>
    <phoneticPr fontId="2" type="noConversion"/>
  </si>
  <si>
    <t>非本月新增，但在本月首次有付费行为的用户</t>
    <phoneticPr fontId="2" type="noConversion"/>
  </si>
  <si>
    <t>上月前付费，上月未付费，本月有付费的用户</t>
    <phoneticPr fontId="2" type="noConversion"/>
  </si>
  <si>
    <t xml:space="preserve">付费用户平均登录天数 </t>
    <phoneticPr fontId="2" type="noConversion"/>
  </si>
  <si>
    <t>所有字体微软雅黑</t>
    <phoneticPr fontId="2" type="noConversion"/>
  </si>
  <si>
    <t>字体</t>
    <phoneticPr fontId="2" type="noConversion"/>
  </si>
  <si>
    <t>跨行，行数=该模块数据项数</t>
    <phoneticPr fontId="2" type="noConversion"/>
  </si>
  <si>
    <t>备注</t>
    <phoneticPr fontId="2" type="noConversion"/>
  </si>
  <si>
    <t>跨行或跨列</t>
    <phoneticPr fontId="2" type="noConversion"/>
  </si>
  <si>
    <t>10号，白色</t>
    <phoneticPr fontId="2" type="noConversion"/>
  </si>
  <si>
    <t>10号，自动</t>
    <phoneticPr fontId="2" type="noConversion"/>
  </si>
  <si>
    <t>14号，白色</t>
    <phoneticPr fontId="2" type="noConversion"/>
  </si>
  <si>
    <t>合并居中，跨2列</t>
    <phoneticPr fontId="2" type="noConversion"/>
  </si>
  <si>
    <t>11号，字体颜色（64,64,64）</t>
    <phoneticPr fontId="2" type="noConversion"/>
  </si>
  <si>
    <t>填充（RGB）</t>
    <phoneticPr fontId="2" type="noConversion"/>
  </si>
  <si>
    <t>标题</t>
    <phoneticPr fontId="2" type="noConversion"/>
  </si>
  <si>
    <t>填充 （RGB）</t>
    <phoneticPr fontId="2" type="noConversion"/>
  </si>
  <si>
    <t>居中</t>
    <phoneticPr fontId="2" type="noConversion"/>
  </si>
  <si>
    <t>对齐方式</t>
    <phoneticPr fontId="2" type="noConversion"/>
  </si>
  <si>
    <t>默认靠右对齐</t>
    <phoneticPr fontId="2" type="noConversion"/>
  </si>
  <si>
    <t>数据项名称</t>
    <phoneticPr fontId="2" type="noConversion"/>
  </si>
  <si>
    <t>格式要求：</t>
    <phoneticPr fontId="2" type="noConversion"/>
  </si>
  <si>
    <t>增长率、付费率、占比、arppu值、登录天数以百分数表示，保留2位小数，其余都是整数</t>
    <phoneticPr fontId="2" type="noConversion"/>
  </si>
  <si>
    <t>数据，数据项名称是蓝色底纹的，该行数据以浅蓝底纹</t>
    <phoneticPr fontId="2" type="noConversion"/>
  </si>
  <si>
    <t>xxx项目付费情况</t>
    <phoneticPr fontId="2" type="noConversion"/>
  </si>
  <si>
    <t>XXX项目活跃情况</t>
    <phoneticPr fontId="2" type="noConversion"/>
  </si>
  <si>
    <t>开发说明：</t>
    <phoneticPr fontId="2" type="noConversion"/>
  </si>
  <si>
    <t>1、</t>
    <phoneticPr fontId="2" type="noConversion"/>
  </si>
  <si>
    <t>2、</t>
    <phoneticPr fontId="2" type="noConversion"/>
  </si>
  <si>
    <t>此sheet里的前两列的格式与项目数据sheet里的格式相同</t>
    <phoneticPr fontId="2" type="noConversion"/>
  </si>
  <si>
    <t>对应指标的定义，字体为红色加粗的为tongji里没有的，需要新加的加工项</t>
    <phoneticPr fontId="2" type="noConversion"/>
  </si>
  <si>
    <t>不含短信包月续费的包月收入额</t>
    <phoneticPr fontId="2" type="noConversion"/>
  </si>
  <si>
    <t>不含短信包月续费的包月支付用户数</t>
    <phoneticPr fontId="2" type="noConversion"/>
  </si>
  <si>
    <t>3、</t>
    <phoneticPr fontId="2" type="noConversion"/>
  </si>
  <si>
    <t>生成的excel，指标定义的字体都是默认的格式“微软雅黑，颜色自动”，空白的定义就让它空着</t>
    <phoneticPr fontId="2" type="noConversion"/>
  </si>
  <si>
    <t>或者是 活跃用户的当月平均在线时长（所有登录的天加在一起） / 活跃用户的当月平均在线天数 ，两种算法都可以得到结果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</si>
</sst>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4">
    <font>
      <sz val="11"/>
      <color rgb="FF000000"/>
      <name val="Calibri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b/>
      <sz val="10"/>
      <color theme="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  <font>
      <b/>
      <sz val="18"/>
      <color rgb="FFFF0000"/>
      <name val="宋体"/>
      <family val="3"/>
      <charset val="134"/>
    </font>
    <font>
      <b/>
      <sz val="11"/>
      <color rgb="FF40404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CA8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1" fillId="2" borderId="1" xfId="0" applyFont="1" applyFill="1" applyBorder="1"/>
    <xf numFmtId="0" fontId="0" fillId="0" borderId="0" xfId="0" applyBorder="1"/>
    <xf numFmtId="0" fontId="1" fillId="0" borderId="0" xfId="0" applyFont="1" applyFill="1" applyBorder="1"/>
    <xf numFmtId="10" fontId="1" fillId="0" borderId="0" xfId="0" applyNumberFormat="1" applyFont="1" applyFill="1" applyBorder="1"/>
    <xf numFmtId="10" fontId="1" fillId="0" borderId="0" xfId="1" applyNumberFormat="1" applyFont="1" applyFill="1" applyBorder="1" applyAlignment="1"/>
    <xf numFmtId="0" fontId="1" fillId="4" borderId="0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10" fontId="1" fillId="0" borderId="5" xfId="0" applyNumberFormat="1" applyFont="1" applyFill="1" applyBorder="1"/>
    <xf numFmtId="0" fontId="1" fillId="4" borderId="5" xfId="0" applyFont="1" applyFill="1" applyBorder="1"/>
    <xf numFmtId="10" fontId="1" fillId="0" borderId="6" xfId="0" applyNumberFormat="1" applyFont="1" applyFill="1" applyBorder="1"/>
    <xf numFmtId="10" fontId="1" fillId="0" borderId="7" xfId="0" applyNumberFormat="1" applyFont="1" applyFill="1" applyBorder="1"/>
    <xf numFmtId="10" fontId="1" fillId="4" borderId="3" xfId="0" applyNumberFormat="1" applyFont="1" applyFill="1" applyBorder="1"/>
    <xf numFmtId="10" fontId="1" fillId="4" borderId="4" xfId="0" applyNumberFormat="1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10" fontId="1" fillId="0" borderId="5" xfId="1" applyNumberFormat="1" applyFont="1" applyFill="1" applyBorder="1" applyAlignment="1"/>
    <xf numFmtId="10" fontId="1" fillId="0" borderId="6" xfId="1" applyNumberFormat="1" applyFont="1" applyFill="1" applyBorder="1" applyAlignment="1"/>
    <xf numFmtId="10" fontId="1" fillId="0" borderId="7" xfId="1" applyNumberFormat="1" applyFont="1" applyFill="1" applyBorder="1" applyAlignment="1"/>
    <xf numFmtId="0" fontId="3" fillId="0" borderId="0" xfId="0" applyFont="1" applyFill="1" applyBorder="1"/>
    <xf numFmtId="0" fontId="3" fillId="0" borderId="5" xfId="0" applyFont="1" applyFill="1" applyBorder="1"/>
    <xf numFmtId="10" fontId="1" fillId="0" borderId="3" xfId="0" applyNumberFormat="1" applyFont="1" applyFill="1" applyBorder="1"/>
    <xf numFmtId="10" fontId="1" fillId="0" borderId="4" xfId="0" applyNumberFormat="1" applyFont="1" applyFill="1" applyBorder="1"/>
    <xf numFmtId="0" fontId="3" fillId="0" borderId="6" xfId="0" applyFont="1" applyFill="1" applyBorder="1"/>
    <xf numFmtId="0" fontId="3" fillId="0" borderId="7" xfId="0" applyFont="1" applyFill="1" applyBorder="1"/>
    <xf numFmtId="0" fontId="7" fillId="0" borderId="0" xfId="0" applyFont="1"/>
    <xf numFmtId="0" fontId="7" fillId="0" borderId="0" xfId="0" applyFont="1" applyBorder="1"/>
    <xf numFmtId="0" fontId="4" fillId="3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10" fontId="1" fillId="4" borderId="3" xfId="1" applyNumberFormat="1" applyFont="1" applyFill="1" applyBorder="1" applyAlignment="1"/>
    <xf numFmtId="10" fontId="1" fillId="4" borderId="4" xfId="1" applyNumberFormat="1" applyFont="1" applyFill="1" applyBorder="1" applyAlignment="1"/>
    <xf numFmtId="0" fontId="1" fillId="0" borderId="0" xfId="0" applyFont="1" applyAlignment="1">
      <alignment horizontal="center" vertical="center"/>
    </xf>
    <xf numFmtId="176" fontId="6" fillId="0" borderId="0" xfId="0" applyNumberFormat="1" applyFont="1" applyFill="1" applyBorder="1"/>
    <xf numFmtId="176" fontId="6" fillId="0" borderId="5" xfId="0" applyNumberFormat="1" applyFont="1" applyFill="1" applyBorder="1"/>
    <xf numFmtId="0" fontId="6" fillId="0" borderId="0" xfId="0" applyFont="1" applyFill="1" applyBorder="1"/>
    <xf numFmtId="0" fontId="6" fillId="0" borderId="5" xfId="0" applyFont="1" applyFill="1" applyBorder="1"/>
    <xf numFmtId="10" fontId="6" fillId="0" borderId="0" xfId="1" applyNumberFormat="1" applyFont="1" applyFill="1" applyBorder="1" applyAlignment="1"/>
    <xf numFmtId="10" fontId="6" fillId="0" borderId="5" xfId="1" applyNumberFormat="1" applyFont="1" applyFill="1" applyBorder="1" applyAlignme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57" fontId="4" fillId="3" borderId="9" xfId="0" applyNumberFormat="1" applyFont="1" applyFill="1" applyBorder="1"/>
    <xf numFmtId="2" fontId="6" fillId="0" borderId="0" xfId="0" applyNumberFormat="1" applyFont="1" applyFill="1" applyBorder="1"/>
    <xf numFmtId="2" fontId="6" fillId="0" borderId="5" xfId="0" applyNumberFormat="1" applyFont="1" applyFill="1" applyBorder="1"/>
    <xf numFmtId="3" fontId="7" fillId="0" borderId="0" xfId="0" applyNumberFormat="1" applyFont="1" applyBorder="1"/>
    <xf numFmtId="0" fontId="7" fillId="0" borderId="0" xfId="0" applyFont="1" applyBorder="1" applyAlignment="1">
      <alignment wrapText="1"/>
    </xf>
    <xf numFmtId="0" fontId="5" fillId="0" borderId="0" xfId="0" applyFont="1" applyBorder="1"/>
    <xf numFmtId="0" fontId="1" fillId="4" borderId="3" xfId="0" applyFont="1" applyFill="1" applyBorder="1" applyAlignment="1"/>
    <xf numFmtId="0" fontId="10" fillId="0" borderId="0" xfId="0" applyFont="1" applyBorder="1"/>
    <xf numFmtId="2" fontId="1" fillId="4" borderId="3" xfId="0" applyNumberFormat="1" applyFont="1" applyFill="1" applyBorder="1"/>
    <xf numFmtId="2" fontId="1" fillId="4" borderId="4" xfId="0" applyNumberFormat="1" applyFont="1" applyFill="1" applyBorder="1"/>
    <xf numFmtId="0" fontId="12" fillId="0" borderId="0" xfId="0" applyFont="1"/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5" fillId="0" borderId="0" xfId="0" applyFont="1"/>
    <xf numFmtId="0" fontId="13" fillId="0" borderId="4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/>
  <colors>
    <mruColors>
      <color rgb="FF404040"/>
      <color rgb="FFFFFCA8"/>
      <color rgb="FFFFFF99"/>
      <color rgb="FFA8FCFF"/>
      <color rgb="FFFFFFCC"/>
      <color rgb="FFF6FA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tabSelected="1" workbookViewId="0">
      <selection activeCell="D22" sqref="D22"/>
    </sheetView>
  </sheetViews>
  <sheetFormatPr defaultRowHeight="15"/>
  <cols>
    <col min="1" max="1" width="20.42578125" style="2" customWidth="1"/>
    <col min="2" max="2" width="30.5703125" style="2" bestFit="1" customWidth="1"/>
    <col min="3" max="3" width="15" style="2" customWidth="1"/>
    <col min="4" max="4" width="21.85546875" style="2" customWidth="1"/>
    <col min="5" max="15" width="15" style="2" customWidth="1"/>
    <col min="16" max="16384" width="9.140625" style="2"/>
  </cols>
  <sheetData>
    <row r="1" spans="1:15" ht="21">
      <c r="A1" s="69" t="s">
        <v>210</v>
      </c>
      <c r="B1" s="70"/>
      <c r="C1" s="53">
        <v>41609</v>
      </c>
      <c r="D1" s="53">
        <v>41640</v>
      </c>
      <c r="E1" s="53">
        <v>41671</v>
      </c>
      <c r="F1" s="53">
        <v>41699</v>
      </c>
      <c r="G1" s="53">
        <v>41730</v>
      </c>
      <c r="H1" s="53">
        <v>41760</v>
      </c>
      <c r="I1" s="53">
        <v>41791</v>
      </c>
      <c r="J1" s="53">
        <v>41821</v>
      </c>
      <c r="K1" s="53">
        <v>41852</v>
      </c>
      <c r="L1" s="53">
        <v>41883</v>
      </c>
      <c r="M1" s="53">
        <v>41913</v>
      </c>
      <c r="N1" s="53">
        <v>41944</v>
      </c>
      <c r="O1" s="53">
        <v>41974</v>
      </c>
    </row>
    <row r="2" spans="1:15" ht="16.5" customHeight="1">
      <c r="A2" s="71" t="s">
        <v>157</v>
      </c>
      <c r="B2" s="31" t="s">
        <v>34</v>
      </c>
      <c r="C2" s="7">
        <v>1139068</v>
      </c>
      <c r="D2" s="7">
        <v>1139068</v>
      </c>
      <c r="E2" s="7">
        <v>1139068</v>
      </c>
      <c r="F2" s="7">
        <v>1139068</v>
      </c>
      <c r="G2" s="7">
        <v>1139068</v>
      </c>
      <c r="H2" s="7">
        <v>1139068</v>
      </c>
      <c r="I2" s="7">
        <v>1139068</v>
      </c>
      <c r="J2" s="7">
        <v>1139068</v>
      </c>
      <c r="K2" s="7">
        <v>1139068</v>
      </c>
      <c r="L2" s="7">
        <v>1139068</v>
      </c>
      <c r="M2" s="7">
        <v>1139068</v>
      </c>
      <c r="N2" s="7">
        <v>1139068</v>
      </c>
      <c r="O2" s="8">
        <v>1139068</v>
      </c>
    </row>
    <row r="3" spans="1:15" ht="16.5">
      <c r="A3" s="71"/>
      <c r="B3" s="30" t="s">
        <v>35</v>
      </c>
      <c r="C3" s="4">
        <v>-8.8999999999999999E-3</v>
      </c>
      <c r="D3" s="4">
        <v>0.1229</v>
      </c>
      <c r="E3" s="4">
        <v>0.01</v>
      </c>
      <c r="F3" s="4">
        <v>-0.1205</v>
      </c>
      <c r="G3" s="4">
        <v>-6.0499999999999998E-2</v>
      </c>
      <c r="H3" s="4">
        <v>-2.1299999999999999E-2</v>
      </c>
      <c r="I3" s="4">
        <v>6.1999999999999998E-3</v>
      </c>
      <c r="J3" s="4">
        <v>-0.6905</v>
      </c>
      <c r="K3" s="4">
        <v>5.7599999999999998E-2</v>
      </c>
      <c r="L3" s="4">
        <v>-0.3584</v>
      </c>
      <c r="M3" s="4">
        <v>-0.23350000000000001</v>
      </c>
      <c r="N3" s="4">
        <v>-0.1772</v>
      </c>
      <c r="O3" s="9">
        <v>-0.25619999999999998</v>
      </c>
    </row>
    <row r="4" spans="1:15" ht="16.5">
      <c r="A4" s="71"/>
      <c r="B4" s="31" t="s">
        <v>36</v>
      </c>
      <c r="C4" s="6">
        <v>92628</v>
      </c>
      <c r="D4" s="6">
        <v>97809</v>
      </c>
      <c r="E4" s="6">
        <v>97696</v>
      </c>
      <c r="F4" s="6">
        <v>93142</v>
      </c>
      <c r="G4" s="6">
        <v>91655</v>
      </c>
      <c r="H4" s="6">
        <v>90751</v>
      </c>
      <c r="I4" s="6">
        <v>90873</v>
      </c>
      <c r="J4" s="6">
        <v>16228</v>
      </c>
      <c r="K4" s="6">
        <v>15325</v>
      </c>
      <c r="L4" s="6">
        <v>8025</v>
      </c>
      <c r="M4" s="6">
        <v>6774</v>
      </c>
      <c r="N4" s="6">
        <v>5678</v>
      </c>
      <c r="O4" s="10">
        <v>4709</v>
      </c>
    </row>
    <row r="5" spans="1:15" ht="16.5">
      <c r="A5" s="71"/>
      <c r="B5" s="30" t="s">
        <v>37</v>
      </c>
      <c r="C5" s="4">
        <v>-2.0899999999999998E-2</v>
      </c>
      <c r="D5" s="4">
        <v>5.5899999999999998E-2</v>
      </c>
      <c r="E5" s="4">
        <v>-1.1999999999999999E-3</v>
      </c>
      <c r="F5" s="4">
        <v>-4.6600000000000003E-2</v>
      </c>
      <c r="G5" s="4">
        <v>-1.6E-2</v>
      </c>
      <c r="H5" s="4">
        <v>-9.9000000000000008E-3</v>
      </c>
      <c r="I5" s="4">
        <v>1.2999999999999999E-3</v>
      </c>
      <c r="J5" s="4">
        <v>-0.82140000000000002</v>
      </c>
      <c r="K5" s="4">
        <v>-5.5599999999999997E-2</v>
      </c>
      <c r="L5" s="4">
        <v>-0.4763</v>
      </c>
      <c r="M5" s="4">
        <v>-0.15590000000000001</v>
      </c>
      <c r="N5" s="4">
        <v>-0.1618</v>
      </c>
      <c r="O5" s="9">
        <v>-0.17069999999999999</v>
      </c>
    </row>
    <row r="6" spans="1:15" ht="16.5">
      <c r="A6" s="71"/>
      <c r="B6" s="31" t="s">
        <v>116</v>
      </c>
      <c r="C6" s="6">
        <v>12.2972</v>
      </c>
      <c r="D6" s="6">
        <v>13.077</v>
      </c>
      <c r="E6" s="6">
        <v>13.2233</v>
      </c>
      <c r="F6" s="6">
        <v>12.199</v>
      </c>
      <c r="G6" s="6">
        <v>11.6472</v>
      </c>
      <c r="H6" s="6">
        <v>11.513</v>
      </c>
      <c r="I6" s="6">
        <v>11.5685</v>
      </c>
      <c r="J6" s="6">
        <v>20.052</v>
      </c>
      <c r="K6" s="6">
        <v>22.4556</v>
      </c>
      <c r="L6" s="6">
        <v>27.513000000000002</v>
      </c>
      <c r="M6" s="6">
        <v>24.982399999999998</v>
      </c>
      <c r="N6" s="6">
        <v>24.523800000000001</v>
      </c>
      <c r="O6" s="10">
        <v>21.9938</v>
      </c>
    </row>
    <row r="7" spans="1:15" ht="16.5">
      <c r="A7" s="71"/>
      <c r="B7" s="32" t="s">
        <v>117</v>
      </c>
      <c r="C7" s="11">
        <v>1.23E-2</v>
      </c>
      <c r="D7" s="11">
        <v>6.3399999999999998E-2</v>
      </c>
      <c r="E7" s="11">
        <v>1.12E-2</v>
      </c>
      <c r="F7" s="11">
        <v>-7.7499999999999999E-2</v>
      </c>
      <c r="G7" s="11">
        <v>-4.5199999999999997E-2</v>
      </c>
      <c r="H7" s="11">
        <v>-1.15E-2</v>
      </c>
      <c r="I7" s="11">
        <v>4.7999999999999996E-3</v>
      </c>
      <c r="J7" s="11">
        <v>0.73329999999999995</v>
      </c>
      <c r="K7" s="11">
        <v>0.11990000000000001</v>
      </c>
      <c r="L7" s="11">
        <v>0.22520000000000001</v>
      </c>
      <c r="M7" s="11">
        <v>-9.1999999999999998E-2</v>
      </c>
      <c r="N7" s="11">
        <v>-1.84E-2</v>
      </c>
      <c r="O7" s="12">
        <v>-0.1032</v>
      </c>
    </row>
    <row r="8" spans="1:15" ht="16.5">
      <c r="A8" s="68" t="s">
        <v>159</v>
      </c>
      <c r="B8" s="29" t="s">
        <v>47</v>
      </c>
      <c r="C8" s="7">
        <v>964690</v>
      </c>
      <c r="D8" s="7">
        <v>1044470</v>
      </c>
      <c r="E8" s="7">
        <v>1007040</v>
      </c>
      <c r="F8" s="7">
        <v>964600</v>
      </c>
      <c r="G8" s="7">
        <v>950540</v>
      </c>
      <c r="H8" s="7">
        <v>944260</v>
      </c>
      <c r="I8" s="7">
        <v>970440</v>
      </c>
      <c r="J8" s="7">
        <v>171690</v>
      </c>
      <c r="K8" s="7">
        <v>152420</v>
      </c>
      <c r="L8" s="7">
        <v>81170</v>
      </c>
      <c r="M8" s="7">
        <v>73240</v>
      </c>
      <c r="N8" s="7">
        <v>57840</v>
      </c>
      <c r="O8" s="8">
        <v>51310</v>
      </c>
    </row>
    <row r="9" spans="1:15" ht="16.5">
      <c r="A9" s="68"/>
      <c r="B9" s="30" t="s">
        <v>48</v>
      </c>
      <c r="C9" s="5">
        <v>-6.0000000000000001E-3</v>
      </c>
      <c r="D9" s="5">
        <v>8.2699999999999996E-2</v>
      </c>
      <c r="E9" s="5">
        <v>-3.5799999999999998E-2</v>
      </c>
      <c r="F9" s="5">
        <v>-4.2099999999999999E-2</v>
      </c>
      <c r="G9" s="5">
        <v>-1.46E-2</v>
      </c>
      <c r="H9" s="5">
        <v>-6.6E-3</v>
      </c>
      <c r="I9" s="5">
        <v>2.7699999999999999E-2</v>
      </c>
      <c r="J9" s="5">
        <v>-0.82310000000000005</v>
      </c>
      <c r="K9" s="5">
        <v>-0.11219999999999999</v>
      </c>
      <c r="L9" s="5">
        <v>-0.46750000000000003</v>
      </c>
      <c r="M9" s="5">
        <v>-9.7699999999999995E-2</v>
      </c>
      <c r="N9" s="5">
        <v>-0.21029999999999999</v>
      </c>
      <c r="O9" s="18">
        <v>-0.1129</v>
      </c>
    </row>
    <row r="10" spans="1:15" ht="16.5">
      <c r="A10" s="68"/>
      <c r="B10" s="34" t="s">
        <v>49</v>
      </c>
      <c r="C10" s="3">
        <v>90093</v>
      </c>
      <c r="D10" s="3">
        <v>94647</v>
      </c>
      <c r="E10" s="3">
        <v>93809</v>
      </c>
      <c r="F10" s="3">
        <v>90666</v>
      </c>
      <c r="G10" s="3">
        <v>89625</v>
      </c>
      <c r="H10" s="3">
        <v>88785</v>
      </c>
      <c r="I10" s="3">
        <v>89466</v>
      </c>
      <c r="J10" s="3">
        <v>13177</v>
      </c>
      <c r="K10" s="3">
        <v>11721</v>
      </c>
      <c r="L10" s="3">
        <v>6183</v>
      </c>
      <c r="M10" s="3">
        <v>5142</v>
      </c>
      <c r="N10" s="3">
        <v>4291</v>
      </c>
      <c r="O10" s="15">
        <v>3716</v>
      </c>
    </row>
    <row r="11" spans="1:15" ht="16.5">
      <c r="A11" s="68"/>
      <c r="B11" s="30" t="s">
        <v>50</v>
      </c>
      <c r="C11" s="5">
        <v>-2.3E-2</v>
      </c>
      <c r="D11" s="5">
        <v>5.0500000000000003E-2</v>
      </c>
      <c r="E11" s="5">
        <v>-8.8999999999999999E-3</v>
      </c>
      <c r="F11" s="5">
        <v>-3.3500000000000002E-2</v>
      </c>
      <c r="G11" s="5">
        <v>-1.15E-2</v>
      </c>
      <c r="H11" s="5">
        <v>-9.4000000000000004E-3</v>
      </c>
      <c r="I11" s="5">
        <v>7.7000000000000002E-3</v>
      </c>
      <c r="J11" s="5">
        <v>-0.85270000000000001</v>
      </c>
      <c r="K11" s="5">
        <v>-0.1105</v>
      </c>
      <c r="L11" s="5">
        <v>-0.47249999999999998</v>
      </c>
      <c r="M11" s="5">
        <v>-0.16839999999999999</v>
      </c>
      <c r="N11" s="5">
        <v>-0.16550000000000001</v>
      </c>
      <c r="O11" s="18">
        <v>-0.13400000000000001</v>
      </c>
    </row>
    <row r="12" spans="1:15" ht="16.5">
      <c r="A12" s="68"/>
      <c r="B12" s="34" t="s">
        <v>51</v>
      </c>
      <c r="C12" s="54">
        <v>10.707700000000001</v>
      </c>
      <c r="D12" s="54">
        <v>11.035399999999999</v>
      </c>
      <c r="E12" s="54">
        <v>10.734999999999999</v>
      </c>
      <c r="F12" s="54">
        <v>10.638999999999999</v>
      </c>
      <c r="G12" s="54">
        <v>10.605700000000001</v>
      </c>
      <c r="H12" s="54">
        <v>10.635400000000001</v>
      </c>
      <c r="I12" s="54">
        <v>10.847</v>
      </c>
      <c r="J12" s="54">
        <v>13.029500000000001</v>
      </c>
      <c r="K12" s="54">
        <v>13.004</v>
      </c>
      <c r="L12" s="54">
        <v>13.1279</v>
      </c>
      <c r="M12" s="54">
        <v>14.243499999999999</v>
      </c>
      <c r="N12" s="54">
        <v>13.4794</v>
      </c>
      <c r="O12" s="55">
        <v>13.8079</v>
      </c>
    </row>
    <row r="13" spans="1:15" ht="16.5">
      <c r="A13" s="68"/>
      <c r="B13" s="32" t="s">
        <v>52</v>
      </c>
      <c r="C13" s="11">
        <v>1.7399999999999999E-2</v>
      </c>
      <c r="D13" s="11">
        <v>3.0599999999999999E-2</v>
      </c>
      <c r="E13" s="11">
        <v>-2.7199999999999998E-2</v>
      </c>
      <c r="F13" s="11">
        <v>-8.8999999999999999E-3</v>
      </c>
      <c r="G13" s="11">
        <v>-3.0999999999999999E-3</v>
      </c>
      <c r="H13" s="11">
        <v>2.8E-3</v>
      </c>
      <c r="I13" s="11">
        <v>1.9900000000000001E-2</v>
      </c>
      <c r="J13" s="11">
        <v>0.20119999999999999</v>
      </c>
      <c r="K13" s="11">
        <v>-2E-3</v>
      </c>
      <c r="L13" s="11">
        <v>9.4999999999999998E-3</v>
      </c>
      <c r="M13" s="11">
        <v>8.5000000000000006E-2</v>
      </c>
      <c r="N13" s="11">
        <v>-5.3600000000000002E-2</v>
      </c>
      <c r="O13" s="12">
        <v>2.4400000000000002E-2</v>
      </c>
    </row>
    <row r="14" spans="1:15" ht="16.5">
      <c r="A14" s="68" t="s">
        <v>158</v>
      </c>
      <c r="B14" s="29" t="s">
        <v>54</v>
      </c>
      <c r="C14" s="7">
        <v>174378</v>
      </c>
      <c r="D14" s="7">
        <v>234576</v>
      </c>
      <c r="E14" s="7">
        <v>284823</v>
      </c>
      <c r="F14" s="7">
        <v>171643</v>
      </c>
      <c r="G14" s="7">
        <v>116983</v>
      </c>
      <c r="H14" s="7">
        <v>100556</v>
      </c>
      <c r="I14" s="7">
        <v>80826</v>
      </c>
      <c r="J14" s="7">
        <v>153714</v>
      </c>
      <c r="K14" s="7">
        <v>191712</v>
      </c>
      <c r="L14" s="7">
        <v>139622</v>
      </c>
      <c r="M14" s="7">
        <v>95991</v>
      </c>
      <c r="N14" s="7">
        <v>81406</v>
      </c>
      <c r="O14" s="8">
        <v>52259</v>
      </c>
    </row>
    <row r="15" spans="1:15" ht="16.5">
      <c r="A15" s="68"/>
      <c r="B15" s="30" t="s">
        <v>55</v>
      </c>
      <c r="C15" s="4">
        <v>-2.4500000000000001E-2</v>
      </c>
      <c r="D15" s="4">
        <v>0.34520000000000001</v>
      </c>
      <c r="E15" s="4">
        <v>0.2142</v>
      </c>
      <c r="F15" s="4">
        <v>-0.39739999999999998</v>
      </c>
      <c r="G15" s="4">
        <v>-0.31850000000000001</v>
      </c>
      <c r="H15" s="4">
        <v>-0.1404</v>
      </c>
      <c r="I15" s="4">
        <v>-0.19620000000000001</v>
      </c>
      <c r="J15" s="4">
        <v>0.90180000000000005</v>
      </c>
      <c r="K15" s="4">
        <v>0.2472</v>
      </c>
      <c r="L15" s="4">
        <v>-0.2717</v>
      </c>
      <c r="M15" s="4">
        <v>-0.3125</v>
      </c>
      <c r="N15" s="4">
        <v>-0.15190000000000001</v>
      </c>
      <c r="O15" s="9">
        <v>-0.35799999999999998</v>
      </c>
    </row>
    <row r="16" spans="1:15" ht="16.5">
      <c r="A16" s="68"/>
      <c r="B16" s="34" t="s">
        <v>56</v>
      </c>
      <c r="C16" s="45">
        <v>5062</v>
      </c>
      <c r="D16" s="45">
        <v>7107</v>
      </c>
      <c r="E16" s="45">
        <v>7816</v>
      </c>
      <c r="F16" s="45">
        <v>4802</v>
      </c>
      <c r="G16" s="45">
        <v>4137</v>
      </c>
      <c r="H16" s="45">
        <v>3720</v>
      </c>
      <c r="I16" s="45">
        <v>3139</v>
      </c>
      <c r="J16" s="45">
        <v>5902</v>
      </c>
      <c r="K16" s="45">
        <v>6370</v>
      </c>
      <c r="L16" s="45">
        <v>3089</v>
      </c>
      <c r="M16" s="45">
        <v>2850</v>
      </c>
      <c r="N16" s="45">
        <v>2329</v>
      </c>
      <c r="O16" s="46">
        <v>1692</v>
      </c>
    </row>
    <row r="17" spans="1:15" ht="16.5">
      <c r="A17" s="68"/>
      <c r="B17" s="34" t="s">
        <v>57</v>
      </c>
      <c r="C17" s="47">
        <v>-9.5899999999999999E-2</v>
      </c>
      <c r="D17" s="47">
        <v>0.40400000000000003</v>
      </c>
      <c r="E17" s="47">
        <v>9.98E-2</v>
      </c>
      <c r="F17" s="47">
        <v>-0.3856</v>
      </c>
      <c r="G17" s="47">
        <v>-0.13850000000000001</v>
      </c>
      <c r="H17" s="47">
        <v>-0.1008</v>
      </c>
      <c r="I17" s="47">
        <v>-0.15620000000000001</v>
      </c>
      <c r="J17" s="47">
        <v>0.88019999999999998</v>
      </c>
      <c r="K17" s="47">
        <v>7.9299999999999995E-2</v>
      </c>
      <c r="L17" s="47">
        <v>-0.5151</v>
      </c>
      <c r="M17" s="47">
        <v>-7.7399999999999997E-2</v>
      </c>
      <c r="N17" s="47">
        <v>-0.18279999999999999</v>
      </c>
      <c r="O17" s="48">
        <v>-0.27350000000000002</v>
      </c>
    </row>
    <row r="18" spans="1:15" ht="16.5">
      <c r="A18" s="68"/>
      <c r="B18" s="34" t="s">
        <v>58</v>
      </c>
      <c r="C18" s="43">
        <v>34.448399999999999</v>
      </c>
      <c r="D18" s="43">
        <v>33.006300000000003</v>
      </c>
      <c r="E18" s="43">
        <v>36.441000000000003</v>
      </c>
      <c r="F18" s="43">
        <v>35.744100000000003</v>
      </c>
      <c r="G18" s="43">
        <v>28.2773</v>
      </c>
      <c r="H18" s="43">
        <v>27.031199999999998</v>
      </c>
      <c r="I18" s="43">
        <v>25.748999999999999</v>
      </c>
      <c r="J18" s="43">
        <v>26.0444</v>
      </c>
      <c r="K18" s="43">
        <v>30.0961</v>
      </c>
      <c r="L18" s="43">
        <v>45.1997</v>
      </c>
      <c r="M18" s="43">
        <v>33.681100000000001</v>
      </c>
      <c r="N18" s="43">
        <v>34.953200000000002</v>
      </c>
      <c r="O18" s="44">
        <v>30.885899999999999</v>
      </c>
    </row>
    <row r="19" spans="1:15" ht="16.5">
      <c r="A19" s="68"/>
      <c r="B19" s="32" t="s">
        <v>59</v>
      </c>
      <c r="C19" s="19">
        <v>7.9000000000000001E-2</v>
      </c>
      <c r="D19" s="19">
        <v>-4.19E-2</v>
      </c>
      <c r="E19" s="19">
        <v>0.1041</v>
      </c>
      <c r="F19" s="19">
        <v>-1.9099999999999999E-2</v>
      </c>
      <c r="G19" s="19">
        <v>-0.2089</v>
      </c>
      <c r="H19" s="19">
        <v>-4.41E-2</v>
      </c>
      <c r="I19" s="19">
        <v>-4.7399999999999998E-2</v>
      </c>
      <c r="J19" s="19">
        <v>1.15E-2</v>
      </c>
      <c r="K19" s="19">
        <v>0.15559999999999999</v>
      </c>
      <c r="L19" s="19">
        <v>0.50180000000000002</v>
      </c>
      <c r="M19" s="19">
        <v>-0.25480000000000003</v>
      </c>
      <c r="N19" s="19">
        <v>3.78E-2</v>
      </c>
      <c r="O19" s="20">
        <v>-0.1164</v>
      </c>
    </row>
    <row r="20" spans="1:15" ht="16.5" customHeight="1">
      <c r="A20" s="68" t="s">
        <v>160</v>
      </c>
      <c r="B20" s="29" t="s">
        <v>97</v>
      </c>
      <c r="C20" s="7">
        <v>1243</v>
      </c>
      <c r="D20" s="7">
        <v>2328</v>
      </c>
      <c r="E20" s="7">
        <v>2205</v>
      </c>
      <c r="F20" s="7">
        <v>1455</v>
      </c>
      <c r="G20" s="7">
        <v>1278</v>
      </c>
      <c r="H20" s="7">
        <v>1250</v>
      </c>
      <c r="I20" s="7">
        <v>1622</v>
      </c>
      <c r="J20" s="7">
        <v>2515</v>
      </c>
      <c r="K20" s="7">
        <v>2191</v>
      </c>
      <c r="L20" s="7">
        <v>706</v>
      </c>
      <c r="M20" s="7">
        <v>726</v>
      </c>
      <c r="N20" s="7">
        <v>660</v>
      </c>
      <c r="O20" s="8">
        <v>578</v>
      </c>
    </row>
    <row r="21" spans="1:15" ht="16.5">
      <c r="A21" s="68"/>
      <c r="B21" s="30" t="s">
        <v>39</v>
      </c>
      <c r="C21" s="3">
        <v>1642</v>
      </c>
      <c r="D21" s="3">
        <v>2567</v>
      </c>
      <c r="E21" s="3">
        <v>3080</v>
      </c>
      <c r="F21" s="3">
        <v>1829</v>
      </c>
      <c r="G21" s="3">
        <v>1407</v>
      </c>
      <c r="H21" s="3">
        <v>1259</v>
      </c>
      <c r="I21" s="3">
        <v>1320</v>
      </c>
      <c r="J21" s="3">
        <v>2325</v>
      </c>
      <c r="K21" s="3">
        <v>2087</v>
      </c>
      <c r="L21" s="3">
        <v>992</v>
      </c>
      <c r="M21" s="3">
        <v>827</v>
      </c>
      <c r="N21" s="3">
        <v>695</v>
      </c>
      <c r="O21" s="15">
        <v>633</v>
      </c>
    </row>
    <row r="22" spans="1:15" ht="16.5">
      <c r="A22" s="68"/>
      <c r="B22" s="30" t="s">
        <v>138</v>
      </c>
      <c r="C22" s="3">
        <v>86068</v>
      </c>
      <c r="D22" s="3">
        <v>85497</v>
      </c>
      <c r="E22" s="3">
        <v>86180</v>
      </c>
      <c r="F22" s="3">
        <v>86648</v>
      </c>
      <c r="G22" s="3">
        <v>85899</v>
      </c>
      <c r="H22" s="3">
        <v>85306</v>
      </c>
      <c r="I22" s="3">
        <v>83922</v>
      </c>
      <c r="J22" s="3">
        <v>3967</v>
      </c>
      <c r="K22" s="3">
        <v>4505</v>
      </c>
      <c r="L22" s="3">
        <v>3911</v>
      </c>
      <c r="M22" s="3">
        <v>2447</v>
      </c>
      <c r="N22" s="3">
        <v>2193</v>
      </c>
      <c r="O22" s="15">
        <v>1753</v>
      </c>
    </row>
    <row r="23" spans="1:15" ht="16.5">
      <c r="A23" s="68"/>
      <c r="B23" s="32" t="s">
        <v>41</v>
      </c>
      <c r="C23" s="16">
        <v>3524</v>
      </c>
      <c r="D23" s="16">
        <v>7153</v>
      </c>
      <c r="E23" s="16">
        <v>5962</v>
      </c>
      <c r="F23" s="16">
        <v>3090</v>
      </c>
      <c r="G23" s="16">
        <v>2964</v>
      </c>
      <c r="H23" s="16">
        <v>2827</v>
      </c>
      <c r="I23" s="16">
        <v>3912</v>
      </c>
      <c r="J23" s="16">
        <v>7245</v>
      </c>
      <c r="K23" s="16">
        <v>6375</v>
      </c>
      <c r="L23" s="16">
        <v>2351</v>
      </c>
      <c r="M23" s="16">
        <v>2733</v>
      </c>
      <c r="N23" s="16">
        <v>2092</v>
      </c>
      <c r="O23" s="17">
        <v>1712</v>
      </c>
    </row>
    <row r="24" spans="1:15" ht="16.5">
      <c r="A24" s="68"/>
      <c r="B24" s="29" t="s">
        <v>100</v>
      </c>
      <c r="C24" s="7">
        <v>1642</v>
      </c>
      <c r="D24" s="7">
        <v>2567</v>
      </c>
      <c r="E24" s="7">
        <v>3080</v>
      </c>
      <c r="F24" s="7">
        <v>1829</v>
      </c>
      <c r="G24" s="7">
        <v>1407</v>
      </c>
      <c r="H24" s="7">
        <v>1259</v>
      </c>
      <c r="I24" s="7">
        <v>1320</v>
      </c>
      <c r="J24" s="7">
        <v>2325</v>
      </c>
      <c r="K24" s="7">
        <v>2087</v>
      </c>
      <c r="L24" s="7">
        <v>992</v>
      </c>
      <c r="M24" s="7">
        <v>827</v>
      </c>
      <c r="N24" s="7">
        <v>695</v>
      </c>
      <c r="O24" s="8">
        <v>633</v>
      </c>
    </row>
    <row r="25" spans="1:15" ht="16.5">
      <c r="A25" s="68"/>
      <c r="B25" s="30" t="s">
        <v>101</v>
      </c>
      <c r="C25" s="3">
        <v>86068</v>
      </c>
      <c r="D25" s="3">
        <v>85497</v>
      </c>
      <c r="E25" s="3">
        <v>86180</v>
      </c>
      <c r="F25" s="3">
        <v>86648</v>
      </c>
      <c r="G25" s="3">
        <v>85899</v>
      </c>
      <c r="H25" s="3">
        <v>85306</v>
      </c>
      <c r="I25" s="3">
        <v>83922</v>
      </c>
      <c r="J25" s="3">
        <v>3967</v>
      </c>
      <c r="K25" s="3">
        <v>4505</v>
      </c>
      <c r="L25" s="3">
        <v>3911</v>
      </c>
      <c r="M25" s="3">
        <v>2447</v>
      </c>
      <c r="N25" s="3">
        <v>2193</v>
      </c>
      <c r="O25" s="15">
        <v>1753</v>
      </c>
    </row>
    <row r="26" spans="1:15" ht="16.5">
      <c r="A26" s="68"/>
      <c r="B26" s="32" t="s">
        <v>102</v>
      </c>
      <c r="C26" s="16">
        <v>3524</v>
      </c>
      <c r="D26" s="16">
        <v>7153</v>
      </c>
      <c r="E26" s="16">
        <v>5962</v>
      </c>
      <c r="F26" s="16">
        <v>3090</v>
      </c>
      <c r="G26" s="16">
        <v>2964</v>
      </c>
      <c r="H26" s="16">
        <v>2827</v>
      </c>
      <c r="I26" s="16">
        <v>3912</v>
      </c>
      <c r="J26" s="16">
        <v>7245</v>
      </c>
      <c r="K26" s="16">
        <v>6375</v>
      </c>
      <c r="L26" s="16">
        <v>2351</v>
      </c>
      <c r="M26" s="16">
        <v>2733</v>
      </c>
      <c r="N26" s="16">
        <v>2092</v>
      </c>
      <c r="O26" s="17">
        <v>1712</v>
      </c>
    </row>
    <row r="27" spans="1:15" ht="16.5" customHeight="1">
      <c r="A27" s="68" t="s">
        <v>96</v>
      </c>
      <c r="B27" s="29" t="s">
        <v>96</v>
      </c>
      <c r="C27" s="13">
        <v>9.5000000000000001E-2</v>
      </c>
      <c r="D27" s="13">
        <v>6.2399999999999997E-2</v>
      </c>
      <c r="E27" s="13">
        <v>6.8599999999999994E-2</v>
      </c>
      <c r="F27" s="13">
        <v>9.1200000000000003E-2</v>
      </c>
      <c r="G27" s="13">
        <v>9.0700000000000003E-2</v>
      </c>
      <c r="H27" s="13">
        <v>8.9300000000000004E-2</v>
      </c>
      <c r="I27" s="13">
        <v>7.8600000000000003E-2</v>
      </c>
      <c r="J27" s="13">
        <v>8.0999999999999996E-3</v>
      </c>
      <c r="K27" s="13">
        <v>5.4999999999999997E-3</v>
      </c>
      <c r="L27" s="13">
        <v>7.1999999999999998E-3</v>
      </c>
      <c r="M27" s="13">
        <v>5.7999999999999996E-3</v>
      </c>
      <c r="N27" s="13">
        <v>4.8999999999999998E-3</v>
      </c>
      <c r="O27" s="14">
        <v>5.1000000000000004E-3</v>
      </c>
    </row>
    <row r="28" spans="1:15" ht="16.5">
      <c r="A28" s="68"/>
      <c r="B28" s="30" t="s">
        <v>118</v>
      </c>
      <c r="C28" s="4">
        <v>0.1283</v>
      </c>
      <c r="D28" s="4">
        <v>-0.34320000000000001</v>
      </c>
      <c r="E28" s="4">
        <v>9.9400000000000002E-2</v>
      </c>
      <c r="F28" s="4">
        <v>0.32940000000000003</v>
      </c>
      <c r="G28" s="4">
        <v>-5.4999999999999997E-3</v>
      </c>
      <c r="H28" s="4">
        <v>-1.54E-2</v>
      </c>
      <c r="I28" s="4">
        <v>-0.1198</v>
      </c>
      <c r="J28" s="4">
        <v>-0.89690000000000003</v>
      </c>
      <c r="K28" s="4">
        <v>-0.32100000000000001</v>
      </c>
      <c r="L28" s="4">
        <v>0.30909999999999999</v>
      </c>
      <c r="M28" s="4">
        <v>-0.19439999999999999</v>
      </c>
      <c r="N28" s="4">
        <v>-0.1552</v>
      </c>
      <c r="O28" s="9">
        <v>4.0800000000000003E-2</v>
      </c>
    </row>
    <row r="29" spans="1:15" ht="16.5">
      <c r="A29" s="68"/>
      <c r="B29" s="30" t="s">
        <v>99</v>
      </c>
      <c r="C29" s="4">
        <v>1.23E-2</v>
      </c>
      <c r="D29" s="4">
        <v>6.3399999999999998E-2</v>
      </c>
      <c r="E29" s="4">
        <v>1.12E-2</v>
      </c>
      <c r="F29" s="4">
        <v>-7.7499999999999999E-2</v>
      </c>
      <c r="G29" s="4">
        <v>-4.5199999999999997E-2</v>
      </c>
      <c r="H29" s="4">
        <v>-1.15E-2</v>
      </c>
      <c r="I29" s="4">
        <v>4.7999999999999996E-3</v>
      </c>
      <c r="J29" s="4">
        <v>0.73329999999999995</v>
      </c>
      <c r="K29" s="4">
        <v>0.11990000000000001</v>
      </c>
      <c r="L29" s="4">
        <v>0.22520000000000001</v>
      </c>
      <c r="M29" s="4">
        <v>-9.1999999999999998E-2</v>
      </c>
      <c r="N29" s="4">
        <v>-1.84E-2</v>
      </c>
      <c r="O29" s="9">
        <v>-0.1032</v>
      </c>
    </row>
    <row r="30" spans="1:15" ht="16.5">
      <c r="A30" s="68"/>
      <c r="B30" s="30" t="s">
        <v>94</v>
      </c>
      <c r="C30" s="4">
        <v>9.5000000000000001E-2</v>
      </c>
      <c r="D30" s="4">
        <v>6.2399999999999997E-2</v>
      </c>
      <c r="E30" s="4">
        <v>6.8599999999999994E-2</v>
      </c>
      <c r="F30" s="4">
        <v>9.1200000000000003E-2</v>
      </c>
      <c r="G30" s="4">
        <v>9.0700000000000003E-2</v>
      </c>
      <c r="H30" s="4">
        <v>8.9300000000000004E-2</v>
      </c>
      <c r="I30" s="4">
        <v>7.8600000000000003E-2</v>
      </c>
      <c r="J30" s="4">
        <v>8.0999999999999996E-3</v>
      </c>
      <c r="K30" s="4">
        <v>5.4999999999999997E-3</v>
      </c>
      <c r="L30" s="4">
        <v>7.1999999999999998E-3</v>
      </c>
      <c r="M30" s="4">
        <v>5.7999999999999996E-3</v>
      </c>
      <c r="N30" s="4">
        <v>4.8999999999999998E-3</v>
      </c>
      <c r="O30" s="9">
        <v>5.1000000000000004E-3</v>
      </c>
    </row>
    <row r="31" spans="1:15" ht="16.5">
      <c r="A31" s="68"/>
      <c r="B31" s="32" t="s">
        <v>95</v>
      </c>
      <c r="C31" s="11">
        <v>0.1283</v>
      </c>
      <c r="D31" s="11">
        <v>-0.34320000000000001</v>
      </c>
      <c r="E31" s="11">
        <v>9.9400000000000002E-2</v>
      </c>
      <c r="F31" s="11">
        <v>0.32940000000000003</v>
      </c>
      <c r="G31" s="11">
        <v>-5.4999999999999997E-3</v>
      </c>
      <c r="H31" s="11">
        <v>-1.54E-2</v>
      </c>
      <c r="I31" s="11">
        <v>-0.1198</v>
      </c>
      <c r="J31" s="11">
        <v>-0.89690000000000003</v>
      </c>
      <c r="K31" s="11">
        <v>-0.32100000000000001</v>
      </c>
      <c r="L31" s="11">
        <v>0.30909999999999999</v>
      </c>
      <c r="M31" s="11">
        <v>-0.19439999999999999</v>
      </c>
      <c r="N31" s="11">
        <v>-0.1552</v>
      </c>
      <c r="O31" s="12">
        <v>4.0800000000000003E-2</v>
      </c>
    </row>
    <row r="32" spans="1:15" ht="16.5" customHeight="1">
      <c r="A32" s="68" t="s">
        <v>162</v>
      </c>
      <c r="B32" s="29" t="s">
        <v>98</v>
      </c>
      <c r="C32" s="40">
        <v>1.34E-2</v>
      </c>
      <c r="D32" s="40">
        <v>2.3800000000000002E-2</v>
      </c>
      <c r="E32" s="40">
        <v>2.2599999999999999E-2</v>
      </c>
      <c r="F32" s="40">
        <v>1.5599999999999999E-2</v>
      </c>
      <c r="G32" s="40">
        <v>1.3899999999999999E-2</v>
      </c>
      <c r="H32" s="40">
        <v>1.38E-2</v>
      </c>
      <c r="I32" s="40">
        <v>1.78E-2</v>
      </c>
      <c r="J32" s="40">
        <v>0.155</v>
      </c>
      <c r="K32" s="40">
        <v>0.14299999999999999</v>
      </c>
      <c r="L32" s="40">
        <v>8.7999999999999995E-2</v>
      </c>
      <c r="M32" s="40">
        <v>0.1072</v>
      </c>
      <c r="N32" s="40">
        <v>0.1162</v>
      </c>
      <c r="O32" s="41">
        <v>0.1227</v>
      </c>
    </row>
    <row r="33" spans="1:15" ht="16.5">
      <c r="A33" s="68"/>
      <c r="B33" s="30" t="s">
        <v>42</v>
      </c>
      <c r="C33" s="4">
        <v>1.77E-2</v>
      </c>
      <c r="D33" s="4">
        <v>2.6200000000000001E-2</v>
      </c>
      <c r="E33" s="4">
        <v>3.15E-2</v>
      </c>
      <c r="F33" s="4">
        <v>1.9599999999999999E-2</v>
      </c>
      <c r="G33" s="4">
        <v>1.54E-2</v>
      </c>
      <c r="H33" s="4">
        <v>1.3899999999999999E-2</v>
      </c>
      <c r="I33" s="4">
        <v>1.4500000000000001E-2</v>
      </c>
      <c r="J33" s="4">
        <v>0.14330000000000001</v>
      </c>
      <c r="K33" s="4">
        <v>0.13619999999999999</v>
      </c>
      <c r="L33" s="4">
        <v>0.1236</v>
      </c>
      <c r="M33" s="4">
        <v>0.1221</v>
      </c>
      <c r="N33" s="4">
        <v>0.12239999999999999</v>
      </c>
      <c r="O33" s="9">
        <v>0.13439999999999999</v>
      </c>
    </row>
    <row r="34" spans="1:15" ht="16.5">
      <c r="A34" s="68"/>
      <c r="B34" s="30" t="s">
        <v>144</v>
      </c>
      <c r="C34" s="4">
        <v>0.92920000000000003</v>
      </c>
      <c r="D34" s="4">
        <v>0.87409999999999999</v>
      </c>
      <c r="E34" s="4">
        <v>0.8821</v>
      </c>
      <c r="F34" s="4">
        <v>0.93030000000000002</v>
      </c>
      <c r="G34" s="4">
        <v>0.93720000000000003</v>
      </c>
      <c r="H34" s="4">
        <v>0.94</v>
      </c>
      <c r="I34" s="4">
        <v>0.92349999999999999</v>
      </c>
      <c r="J34" s="4">
        <v>0.2445</v>
      </c>
      <c r="K34" s="4">
        <v>0.29399999999999998</v>
      </c>
      <c r="L34" s="4">
        <v>0.4874</v>
      </c>
      <c r="M34" s="4">
        <v>0.36120000000000002</v>
      </c>
      <c r="N34" s="4">
        <v>0.38619999999999999</v>
      </c>
      <c r="O34" s="9">
        <v>0.37230000000000002</v>
      </c>
    </row>
    <row r="35" spans="1:15" ht="16.5">
      <c r="A35" s="68"/>
      <c r="B35" s="32" t="s">
        <v>43</v>
      </c>
      <c r="C35" s="11">
        <v>3.7999999999999999E-2</v>
      </c>
      <c r="D35" s="11">
        <v>7.3099999999999998E-2</v>
      </c>
      <c r="E35" s="11">
        <v>6.0999999999999999E-2</v>
      </c>
      <c r="F35" s="11">
        <v>3.32E-2</v>
      </c>
      <c r="G35" s="11">
        <v>3.2300000000000002E-2</v>
      </c>
      <c r="H35" s="11">
        <v>3.1199999999999999E-2</v>
      </c>
      <c r="I35" s="11">
        <v>4.2999999999999997E-2</v>
      </c>
      <c r="J35" s="11">
        <v>0.44650000000000001</v>
      </c>
      <c r="K35" s="11">
        <v>0.41599999999999998</v>
      </c>
      <c r="L35" s="11">
        <v>0.29299999999999998</v>
      </c>
      <c r="M35" s="11">
        <v>0.40350000000000003</v>
      </c>
      <c r="N35" s="11">
        <v>0.36840000000000001</v>
      </c>
      <c r="O35" s="12">
        <v>0.36359999999999998</v>
      </c>
    </row>
    <row r="36" spans="1:15" ht="16.5" customHeight="1">
      <c r="A36" s="68" t="s">
        <v>161</v>
      </c>
      <c r="B36" s="29" t="s">
        <v>103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1:15" ht="16.5">
      <c r="A37" s="68"/>
      <c r="B37" s="30" t="s">
        <v>104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9"/>
    </row>
    <row r="38" spans="1:15" ht="16.5">
      <c r="A38" s="68"/>
      <c r="B38" s="30" t="s">
        <v>155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9"/>
    </row>
    <row r="39" spans="1:15" ht="16.5">
      <c r="A39" s="68"/>
      <c r="B39" s="30" t="s">
        <v>105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9"/>
    </row>
    <row r="40" spans="1:15" ht="16.5">
      <c r="A40" s="72"/>
      <c r="B40" s="31" t="s">
        <v>106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10"/>
    </row>
    <row r="41" spans="1:15" ht="16.5">
      <c r="A41" s="68"/>
      <c r="B41" s="30" t="s">
        <v>107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15"/>
    </row>
    <row r="42" spans="1:15" ht="16.5">
      <c r="A42" s="68"/>
      <c r="B42" s="32" t="s">
        <v>108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</row>
    <row r="43" spans="1:15" ht="16.5" customHeight="1">
      <c r="A43" s="68" t="s">
        <v>119</v>
      </c>
      <c r="B43" s="29" t="s">
        <v>120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/>
    </row>
    <row r="44" spans="1:15" ht="16.5">
      <c r="A44" s="68"/>
      <c r="B44" s="30" t="s">
        <v>121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15"/>
    </row>
    <row r="45" spans="1:15" ht="16.5">
      <c r="A45" s="68"/>
      <c r="B45" s="30" t="s">
        <v>148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15"/>
    </row>
    <row r="46" spans="1:15" ht="16.5">
      <c r="A46" s="68"/>
      <c r="B46" s="32" t="s">
        <v>122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7"/>
    </row>
    <row r="47" spans="1:15" ht="16.5">
      <c r="A47" s="68"/>
      <c r="B47" s="29" t="s">
        <v>123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"/>
    </row>
    <row r="48" spans="1:15" ht="16.5">
      <c r="A48" s="68"/>
      <c r="B48" s="30" t="s">
        <v>124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5"/>
    </row>
    <row r="49" spans="1:15" ht="16.5">
      <c r="A49" s="68"/>
      <c r="B49" s="32" t="s">
        <v>125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7"/>
    </row>
    <row r="52" spans="1:15" ht="21">
      <c r="A52" s="69" t="s">
        <v>211</v>
      </c>
      <c r="B52" s="70"/>
      <c r="C52" s="53">
        <v>41609</v>
      </c>
      <c r="D52" s="53">
        <v>41640</v>
      </c>
      <c r="E52" s="53">
        <v>41671</v>
      </c>
      <c r="F52" s="53">
        <v>41699</v>
      </c>
      <c r="G52" s="53">
        <v>41730</v>
      </c>
      <c r="H52" s="53">
        <v>41760</v>
      </c>
      <c r="I52" s="53">
        <v>41791</v>
      </c>
      <c r="J52" s="53">
        <v>41821</v>
      </c>
      <c r="K52" s="53">
        <v>41852</v>
      </c>
      <c r="L52" s="53">
        <v>41883</v>
      </c>
      <c r="M52" s="53">
        <v>41913</v>
      </c>
      <c r="N52" s="53">
        <v>41944</v>
      </c>
      <c r="O52" s="53">
        <v>41974</v>
      </c>
    </row>
    <row r="53" spans="1:15" ht="16.5">
      <c r="A53" s="68" t="s">
        <v>109</v>
      </c>
      <c r="B53" s="29" t="s">
        <v>0</v>
      </c>
      <c r="C53" s="7">
        <v>974805</v>
      </c>
      <c r="D53" s="7">
        <v>974805</v>
      </c>
      <c r="E53" s="7">
        <v>974805</v>
      </c>
      <c r="F53" s="7">
        <v>974805</v>
      </c>
      <c r="G53" s="7">
        <v>974805</v>
      </c>
      <c r="H53" s="7">
        <v>974805</v>
      </c>
      <c r="I53" s="7">
        <v>974805</v>
      </c>
      <c r="J53" s="7">
        <v>974805</v>
      </c>
      <c r="K53" s="7">
        <v>974805</v>
      </c>
      <c r="L53" s="7">
        <v>974805</v>
      </c>
      <c r="M53" s="7">
        <v>974805</v>
      </c>
      <c r="N53" s="7">
        <v>974805</v>
      </c>
      <c r="O53" s="8">
        <v>974805</v>
      </c>
    </row>
    <row r="54" spans="1:15" ht="16.5">
      <c r="A54" s="68"/>
      <c r="B54" s="30" t="s">
        <v>1</v>
      </c>
      <c r="C54" s="4">
        <v>-0.1326</v>
      </c>
      <c r="D54" s="4">
        <v>0.60870000000000002</v>
      </c>
      <c r="E54" s="4">
        <v>-9.1700000000000004E-2</v>
      </c>
      <c r="F54" s="4">
        <v>-0.28289999999999998</v>
      </c>
      <c r="G54" s="4">
        <v>-1.04E-2</v>
      </c>
      <c r="H54" s="4">
        <v>5.4999999999999997E-3</v>
      </c>
      <c r="I54" s="4">
        <v>0.1371</v>
      </c>
      <c r="J54" s="4">
        <v>0.72799999999999998</v>
      </c>
      <c r="K54" s="4">
        <v>0.3901</v>
      </c>
      <c r="L54" s="4">
        <v>-0.59599999999999997</v>
      </c>
      <c r="M54" s="4">
        <v>4.4900000000000002E-2</v>
      </c>
      <c r="N54" s="4">
        <v>-8.8000000000000005E-3</v>
      </c>
      <c r="O54" s="9">
        <v>-0.21010000000000001</v>
      </c>
    </row>
    <row r="55" spans="1:15" ht="16.5">
      <c r="A55" s="68"/>
      <c r="B55" s="31" t="s">
        <v>2</v>
      </c>
      <c r="C55" s="6">
        <v>331772</v>
      </c>
      <c r="D55" s="6">
        <v>569254</v>
      </c>
      <c r="E55" s="6">
        <v>517499</v>
      </c>
      <c r="F55" s="6">
        <v>334693</v>
      </c>
      <c r="G55" s="6">
        <v>326667</v>
      </c>
      <c r="H55" s="6">
        <v>328679</v>
      </c>
      <c r="I55" s="6">
        <v>381646</v>
      </c>
      <c r="J55" s="6">
        <v>668432</v>
      </c>
      <c r="K55" s="6">
        <v>878423</v>
      </c>
      <c r="L55" s="6">
        <v>325963</v>
      </c>
      <c r="M55" s="6">
        <v>342070</v>
      </c>
      <c r="N55" s="6">
        <v>326221</v>
      </c>
      <c r="O55" s="10">
        <v>252890</v>
      </c>
    </row>
    <row r="56" spans="1:15" ht="16.5">
      <c r="A56" s="68"/>
      <c r="B56" s="30" t="s">
        <v>3</v>
      </c>
      <c r="C56" s="4">
        <v>-0.1067</v>
      </c>
      <c r="D56" s="4">
        <v>0.71579999999999999</v>
      </c>
      <c r="E56" s="4">
        <v>-9.0899999999999995E-2</v>
      </c>
      <c r="F56" s="4">
        <v>-0.35320000000000001</v>
      </c>
      <c r="G56" s="4">
        <v>-2.4E-2</v>
      </c>
      <c r="H56" s="4">
        <v>6.1999999999999998E-3</v>
      </c>
      <c r="I56" s="4">
        <v>0.16120000000000001</v>
      </c>
      <c r="J56" s="4">
        <v>0.75139999999999996</v>
      </c>
      <c r="K56" s="4">
        <v>0.31419999999999998</v>
      </c>
      <c r="L56" s="4">
        <v>-0.62890000000000001</v>
      </c>
      <c r="M56" s="4">
        <v>4.9399999999999999E-2</v>
      </c>
      <c r="N56" s="4">
        <v>-4.6300000000000001E-2</v>
      </c>
      <c r="O56" s="9">
        <v>-0.2248</v>
      </c>
    </row>
    <row r="57" spans="1:15" ht="16.5">
      <c r="A57" s="68"/>
      <c r="B57" s="31" t="s">
        <v>8</v>
      </c>
      <c r="C57" s="6">
        <v>486633</v>
      </c>
      <c r="D57" s="6">
        <v>843583</v>
      </c>
      <c r="E57" s="6">
        <v>768217</v>
      </c>
      <c r="F57" s="6">
        <v>548558</v>
      </c>
      <c r="G57" s="6">
        <v>556862</v>
      </c>
      <c r="H57" s="6">
        <v>563364</v>
      </c>
      <c r="I57" s="6">
        <v>640398</v>
      </c>
      <c r="J57" s="6">
        <v>1271724</v>
      </c>
      <c r="K57" s="6">
        <v>1964483</v>
      </c>
      <c r="L57" s="6">
        <v>673936</v>
      </c>
      <c r="M57" s="6">
        <v>715162</v>
      </c>
      <c r="N57" s="6">
        <v>727838</v>
      </c>
      <c r="O57" s="10">
        <v>546768</v>
      </c>
    </row>
    <row r="58" spans="1:15" ht="16.5">
      <c r="A58" s="68"/>
      <c r="B58" s="30" t="s">
        <v>9</v>
      </c>
      <c r="C58" s="4">
        <v>-0.1416</v>
      </c>
      <c r="D58" s="4">
        <v>0.73350000000000004</v>
      </c>
      <c r="E58" s="4">
        <v>-8.9300000000000004E-2</v>
      </c>
      <c r="F58" s="4">
        <v>-0.28589999999999999</v>
      </c>
      <c r="G58" s="4">
        <v>1.5100000000000001E-2</v>
      </c>
      <c r="H58" s="4">
        <v>1.17E-2</v>
      </c>
      <c r="I58" s="4">
        <v>0.13669999999999999</v>
      </c>
      <c r="J58" s="4">
        <v>0.98580000000000001</v>
      </c>
      <c r="K58" s="4">
        <v>0.54469999999999996</v>
      </c>
      <c r="L58" s="4">
        <v>-0.65690000000000004</v>
      </c>
      <c r="M58" s="4">
        <v>6.1199999999999997E-2</v>
      </c>
      <c r="N58" s="4">
        <v>1.77E-2</v>
      </c>
      <c r="O58" s="9">
        <v>-0.24879999999999999</v>
      </c>
    </row>
    <row r="59" spans="1:15" ht="16.5">
      <c r="A59" s="68"/>
      <c r="B59" s="31" t="s">
        <v>10</v>
      </c>
      <c r="C59" s="6">
        <v>274160</v>
      </c>
      <c r="D59" s="6">
        <v>297719</v>
      </c>
      <c r="E59" s="6">
        <v>388006</v>
      </c>
      <c r="F59" s="6">
        <v>285525</v>
      </c>
      <c r="G59" s="6">
        <v>246420</v>
      </c>
      <c r="H59" s="6">
        <v>246022</v>
      </c>
      <c r="I59" s="6">
        <v>244857</v>
      </c>
      <c r="J59" s="6">
        <v>319709</v>
      </c>
      <c r="K59" s="6">
        <v>455433</v>
      </c>
      <c r="L59" s="6">
        <v>310979</v>
      </c>
      <c r="M59" s="6">
        <v>236554</v>
      </c>
      <c r="N59" s="6">
        <v>231035</v>
      </c>
      <c r="O59" s="10">
        <v>204602</v>
      </c>
    </row>
    <row r="60" spans="1:15" ht="16.5">
      <c r="A60" s="68"/>
      <c r="B60" s="30" t="s">
        <v>11</v>
      </c>
      <c r="C60" s="4">
        <v>-0.1542</v>
      </c>
      <c r="D60" s="4">
        <v>8.5900000000000004E-2</v>
      </c>
      <c r="E60" s="4">
        <v>0.30330000000000001</v>
      </c>
      <c r="F60" s="4">
        <v>-0.2641</v>
      </c>
      <c r="G60" s="4">
        <v>-0.13700000000000001</v>
      </c>
      <c r="H60" s="4">
        <v>-1.6000000000000001E-3</v>
      </c>
      <c r="I60" s="4">
        <v>-4.7000000000000002E-3</v>
      </c>
      <c r="J60" s="4">
        <v>0.30570000000000003</v>
      </c>
      <c r="K60" s="4">
        <v>0.42449999999999999</v>
      </c>
      <c r="L60" s="4">
        <v>-0.31719999999999998</v>
      </c>
      <c r="M60" s="4">
        <v>-0.23930000000000001</v>
      </c>
      <c r="N60" s="4">
        <v>-2.3300000000000001E-2</v>
      </c>
      <c r="O60" s="9">
        <v>-0.1144</v>
      </c>
    </row>
    <row r="61" spans="1:15" ht="16.5">
      <c r="A61" s="68"/>
      <c r="B61" s="31" t="s">
        <v>12</v>
      </c>
      <c r="C61" s="6">
        <v>214012</v>
      </c>
      <c r="D61" s="6">
        <v>426847</v>
      </c>
      <c r="E61" s="6">
        <v>268100</v>
      </c>
      <c r="F61" s="6">
        <v>187328</v>
      </c>
      <c r="G61" s="6">
        <v>207495</v>
      </c>
      <c r="H61" s="6">
        <v>206981</v>
      </c>
      <c r="I61" s="6">
        <v>270429</v>
      </c>
      <c r="J61" s="6">
        <v>405585</v>
      </c>
      <c r="K61" s="6">
        <v>356133</v>
      </c>
      <c r="L61" s="6">
        <v>136530</v>
      </c>
      <c r="M61" s="6">
        <v>220101</v>
      </c>
      <c r="N61" s="6">
        <v>202611</v>
      </c>
      <c r="O61" s="10">
        <v>166140</v>
      </c>
    </row>
    <row r="62" spans="1:15" ht="16.5">
      <c r="A62" s="68"/>
      <c r="B62" s="32" t="s">
        <v>13</v>
      </c>
      <c r="C62" s="11">
        <v>-8.0399999999999999E-2</v>
      </c>
      <c r="D62" s="11">
        <v>0.99450000000000005</v>
      </c>
      <c r="E62" s="11">
        <v>-0.37190000000000001</v>
      </c>
      <c r="F62" s="11">
        <v>-0.30130000000000001</v>
      </c>
      <c r="G62" s="11">
        <v>0.1077</v>
      </c>
      <c r="H62" s="11">
        <v>-2.5000000000000001E-3</v>
      </c>
      <c r="I62" s="11">
        <v>0.30649999999999999</v>
      </c>
      <c r="J62" s="11">
        <v>0.49980000000000002</v>
      </c>
      <c r="K62" s="11">
        <v>-0.12189999999999999</v>
      </c>
      <c r="L62" s="11">
        <v>-0.61660000000000004</v>
      </c>
      <c r="M62" s="11">
        <v>0.61209999999999998</v>
      </c>
      <c r="N62" s="11">
        <v>-7.9500000000000001E-2</v>
      </c>
      <c r="O62" s="12">
        <v>-0.18</v>
      </c>
    </row>
    <row r="63" spans="1:15" ht="16.5">
      <c r="A63" s="68" t="s">
        <v>110</v>
      </c>
      <c r="B63" s="33" t="s">
        <v>4</v>
      </c>
      <c r="C63" s="23">
        <v>0.49919999999999998</v>
      </c>
      <c r="D63" s="23">
        <v>0.53790000000000004</v>
      </c>
      <c r="E63" s="23">
        <v>0.53939999999999999</v>
      </c>
      <c r="F63" s="23">
        <v>0.53710000000000002</v>
      </c>
      <c r="G63" s="23">
        <v>0.55089999999999995</v>
      </c>
      <c r="H63" s="23">
        <v>0.55430000000000001</v>
      </c>
      <c r="I63" s="23">
        <v>0.55410000000000004</v>
      </c>
      <c r="J63" s="23">
        <v>0.63680000000000003</v>
      </c>
      <c r="K63" s="23">
        <v>0.7077</v>
      </c>
      <c r="L63" s="23">
        <v>0.60099999999999998</v>
      </c>
      <c r="M63" s="23">
        <v>0.61029999999999995</v>
      </c>
      <c r="N63" s="23">
        <v>0.62660000000000005</v>
      </c>
      <c r="O63" s="24">
        <v>0.59589999999999999</v>
      </c>
    </row>
    <row r="64" spans="1:15" ht="16.5">
      <c r="A64" s="68"/>
      <c r="B64" s="30" t="s">
        <v>5</v>
      </c>
      <c r="C64" s="4">
        <v>0.28120000000000001</v>
      </c>
      <c r="D64" s="4">
        <v>0.18990000000000001</v>
      </c>
      <c r="E64" s="4">
        <v>0.27239999999999998</v>
      </c>
      <c r="F64" s="4">
        <v>0.27950000000000003</v>
      </c>
      <c r="G64" s="4">
        <v>0.24379999999999999</v>
      </c>
      <c r="H64" s="4">
        <v>0.24210000000000001</v>
      </c>
      <c r="I64" s="4">
        <v>0.21190000000000001</v>
      </c>
      <c r="J64" s="4">
        <v>0.16009999999999999</v>
      </c>
      <c r="K64" s="4">
        <v>0.1641</v>
      </c>
      <c r="L64" s="4">
        <v>0.27729999999999999</v>
      </c>
      <c r="M64" s="4">
        <v>0.2019</v>
      </c>
      <c r="N64" s="4">
        <v>0.19889999999999999</v>
      </c>
      <c r="O64" s="9">
        <v>0.223</v>
      </c>
    </row>
    <row r="65" spans="1:15" ht="16.5">
      <c r="A65" s="68"/>
      <c r="B65" s="32" t="s">
        <v>6</v>
      </c>
      <c r="C65" s="11">
        <v>0.2195</v>
      </c>
      <c r="D65" s="11">
        <v>0.2722</v>
      </c>
      <c r="E65" s="11">
        <v>0.18820000000000001</v>
      </c>
      <c r="F65" s="11">
        <v>0.18340000000000001</v>
      </c>
      <c r="G65" s="11">
        <v>0.20530000000000001</v>
      </c>
      <c r="H65" s="11">
        <v>0.2036</v>
      </c>
      <c r="I65" s="11">
        <v>0.23400000000000001</v>
      </c>
      <c r="J65" s="11">
        <v>0.2031</v>
      </c>
      <c r="K65" s="11">
        <v>0.1283</v>
      </c>
      <c r="L65" s="11">
        <v>0.1217</v>
      </c>
      <c r="M65" s="11">
        <v>0.18779999999999999</v>
      </c>
      <c r="N65" s="11">
        <v>0.1744</v>
      </c>
      <c r="O65" s="12">
        <v>0.18110000000000001</v>
      </c>
    </row>
    <row r="66" spans="1:15" ht="16.5">
      <c r="A66" s="68" t="s">
        <v>111</v>
      </c>
      <c r="B66" s="29" t="s">
        <v>14</v>
      </c>
      <c r="C66" s="7">
        <v>849625</v>
      </c>
      <c r="D66" s="7">
        <v>677086</v>
      </c>
      <c r="E66" s="7">
        <v>1180143</v>
      </c>
      <c r="F66" s="7">
        <v>1138798</v>
      </c>
      <c r="G66" s="7">
        <v>774991</v>
      </c>
      <c r="H66" s="7">
        <v>764755</v>
      </c>
      <c r="I66" s="7">
        <v>771510</v>
      </c>
      <c r="J66" s="7">
        <v>835975</v>
      </c>
      <c r="K66" s="7">
        <v>1541585</v>
      </c>
      <c r="L66" s="7">
        <v>2465070</v>
      </c>
      <c r="M66" s="7">
        <v>884891</v>
      </c>
      <c r="N66" s="7">
        <v>940782</v>
      </c>
      <c r="O66" s="8">
        <v>956882</v>
      </c>
    </row>
    <row r="67" spans="1:15" ht="16.5">
      <c r="A67" s="68"/>
      <c r="B67" s="30" t="s">
        <v>15</v>
      </c>
      <c r="C67" s="4">
        <v>-0.2069</v>
      </c>
      <c r="D67" s="4">
        <v>-0.2031</v>
      </c>
      <c r="E67" s="4">
        <v>0.74299999999999999</v>
      </c>
      <c r="F67" s="4">
        <v>-3.5000000000000003E-2</v>
      </c>
      <c r="G67" s="4">
        <v>-0.31950000000000001</v>
      </c>
      <c r="H67" s="4">
        <v>-1.32E-2</v>
      </c>
      <c r="I67" s="4">
        <v>8.8000000000000005E-3</v>
      </c>
      <c r="J67" s="4">
        <v>8.3599999999999994E-2</v>
      </c>
      <c r="K67" s="4">
        <v>0.84409999999999996</v>
      </c>
      <c r="L67" s="4">
        <v>0.59899999999999998</v>
      </c>
      <c r="M67" s="4">
        <v>-0.64100000000000001</v>
      </c>
      <c r="N67" s="4">
        <v>6.3200000000000006E-2</v>
      </c>
      <c r="O67" s="9">
        <v>1.7100000000000001E-2</v>
      </c>
    </row>
    <row r="68" spans="1:15" ht="16.5">
      <c r="A68" s="68"/>
      <c r="B68" s="31" t="s">
        <v>17</v>
      </c>
      <c r="C68" s="6">
        <v>498466</v>
      </c>
      <c r="D68" s="6">
        <v>418324</v>
      </c>
      <c r="E68" s="6">
        <v>729300</v>
      </c>
      <c r="F68" s="6">
        <v>688295</v>
      </c>
      <c r="G68" s="6">
        <v>483533</v>
      </c>
      <c r="H68" s="6">
        <v>484841</v>
      </c>
      <c r="I68" s="6">
        <v>495440</v>
      </c>
      <c r="J68" s="6">
        <v>549347</v>
      </c>
      <c r="K68" s="6">
        <v>1095295</v>
      </c>
      <c r="L68" s="6">
        <v>1834633</v>
      </c>
      <c r="M68" s="6">
        <v>603361</v>
      </c>
      <c r="N68" s="6">
        <v>639132</v>
      </c>
      <c r="O68" s="10">
        <v>656963</v>
      </c>
    </row>
    <row r="69" spans="1:15" ht="16.5">
      <c r="A69" s="68"/>
      <c r="B69" s="30" t="s">
        <v>18</v>
      </c>
      <c r="C69" s="3">
        <v>169435</v>
      </c>
      <c r="D69" s="3">
        <v>115015</v>
      </c>
      <c r="E69" s="3">
        <v>145378</v>
      </c>
      <c r="F69" s="3">
        <v>227942</v>
      </c>
      <c r="G69" s="3">
        <v>146272</v>
      </c>
      <c r="H69" s="3">
        <v>121663</v>
      </c>
      <c r="I69" s="3">
        <v>123583</v>
      </c>
      <c r="J69" s="3">
        <v>110776</v>
      </c>
      <c r="K69" s="3">
        <v>161301</v>
      </c>
      <c r="L69" s="3">
        <v>323312</v>
      </c>
      <c r="M69" s="3">
        <v>175035</v>
      </c>
      <c r="N69" s="3">
        <v>131629</v>
      </c>
      <c r="O69" s="15">
        <v>137385</v>
      </c>
    </row>
    <row r="70" spans="1:15" ht="16.5">
      <c r="A70" s="68"/>
      <c r="B70" s="32" t="s">
        <v>112</v>
      </c>
      <c r="C70" s="16">
        <v>181724</v>
      </c>
      <c r="D70" s="16">
        <v>143747</v>
      </c>
      <c r="E70" s="16">
        <v>305465</v>
      </c>
      <c r="F70" s="16">
        <v>222561</v>
      </c>
      <c r="G70" s="16">
        <v>145186</v>
      </c>
      <c r="H70" s="16">
        <v>158251</v>
      </c>
      <c r="I70" s="16">
        <v>152487</v>
      </c>
      <c r="J70" s="16">
        <v>175852</v>
      </c>
      <c r="K70" s="16">
        <v>284989</v>
      </c>
      <c r="L70" s="16">
        <v>307125</v>
      </c>
      <c r="M70" s="16">
        <v>106495</v>
      </c>
      <c r="N70" s="16">
        <v>170021</v>
      </c>
      <c r="O70" s="17">
        <v>162534</v>
      </c>
    </row>
    <row r="71" spans="1:15" ht="16.5">
      <c r="A71" s="68" t="s">
        <v>114</v>
      </c>
      <c r="B71" s="29" t="s">
        <v>16</v>
      </c>
      <c r="C71" s="40">
        <v>0.75600000000000001</v>
      </c>
      <c r="D71" s="40">
        <v>0.6946</v>
      </c>
      <c r="E71" s="40">
        <v>0.75260000000000005</v>
      </c>
      <c r="F71" s="40">
        <v>0.79949999999999999</v>
      </c>
      <c r="G71" s="40">
        <v>0.75870000000000004</v>
      </c>
      <c r="H71" s="40">
        <v>0.75660000000000005</v>
      </c>
      <c r="I71" s="40">
        <v>0.7591</v>
      </c>
      <c r="J71" s="40">
        <v>0.72340000000000004</v>
      </c>
      <c r="K71" s="40">
        <v>0.77190000000000003</v>
      </c>
      <c r="L71" s="40">
        <v>0.88800000000000001</v>
      </c>
      <c r="M71" s="40">
        <v>0.78910000000000002</v>
      </c>
      <c r="N71" s="40">
        <v>0.80279999999999996</v>
      </c>
      <c r="O71" s="41">
        <v>0.82379999999999998</v>
      </c>
    </row>
    <row r="72" spans="1:15" ht="16.5">
      <c r="A72" s="68"/>
      <c r="B72" s="34" t="s">
        <v>92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"/>
    </row>
    <row r="73" spans="1:15" ht="16.5">
      <c r="A73" s="68"/>
      <c r="B73" s="30" t="s">
        <v>93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2"/>
    </row>
    <row r="74" spans="1:15" ht="16.5">
      <c r="A74" s="68"/>
      <c r="B74" s="32" t="s">
        <v>113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6"/>
    </row>
    <row r="75" spans="1:15" ht="16.5">
      <c r="A75" s="68" t="s">
        <v>163</v>
      </c>
      <c r="B75" s="29" t="s">
        <v>21</v>
      </c>
      <c r="C75" s="7">
        <v>12025</v>
      </c>
      <c r="D75" s="7">
        <v>15244</v>
      </c>
      <c r="E75" s="7">
        <v>15415</v>
      </c>
      <c r="F75" s="7">
        <v>11321</v>
      </c>
      <c r="G75" s="7">
        <v>11896</v>
      </c>
      <c r="H75" s="7">
        <v>12631</v>
      </c>
      <c r="I75" s="7">
        <v>11469</v>
      </c>
      <c r="J75" s="7">
        <v>15594</v>
      </c>
      <c r="K75" s="7">
        <v>18884</v>
      </c>
      <c r="L75" s="7">
        <v>12574</v>
      </c>
      <c r="M75" s="7">
        <v>10341</v>
      </c>
      <c r="N75" s="7">
        <v>10895</v>
      </c>
      <c r="O75" s="8">
        <v>8518</v>
      </c>
    </row>
    <row r="76" spans="1:15" ht="16.5">
      <c r="A76" s="68"/>
      <c r="B76" s="30" t="s">
        <v>22</v>
      </c>
      <c r="C76" s="4">
        <v>-0.16320000000000001</v>
      </c>
      <c r="D76" s="4">
        <v>0.26769999999999999</v>
      </c>
      <c r="E76" s="4">
        <v>1.12E-2</v>
      </c>
      <c r="F76" s="4">
        <v>-0.2656</v>
      </c>
      <c r="G76" s="4">
        <v>5.0799999999999998E-2</v>
      </c>
      <c r="H76" s="4">
        <v>6.1800000000000001E-2</v>
      </c>
      <c r="I76" s="4">
        <v>-9.1999999999999998E-2</v>
      </c>
      <c r="J76" s="4">
        <v>0.35970000000000002</v>
      </c>
      <c r="K76" s="4">
        <v>0.21099999999999999</v>
      </c>
      <c r="L76" s="4">
        <v>-0.33410000000000001</v>
      </c>
      <c r="M76" s="4">
        <v>-0.17760000000000001</v>
      </c>
      <c r="N76" s="4">
        <v>5.3600000000000002E-2</v>
      </c>
      <c r="O76" s="9">
        <v>-0.21820000000000001</v>
      </c>
    </row>
    <row r="77" spans="1:15" ht="16.5">
      <c r="A77" s="68"/>
      <c r="B77" s="31" t="s">
        <v>23</v>
      </c>
      <c r="C77" s="6">
        <v>3959</v>
      </c>
      <c r="D77" s="6">
        <v>6856</v>
      </c>
      <c r="E77" s="6">
        <v>6861</v>
      </c>
      <c r="F77" s="6">
        <v>3941</v>
      </c>
      <c r="G77" s="6">
        <v>4043</v>
      </c>
      <c r="H77" s="6">
        <v>3936</v>
      </c>
      <c r="I77" s="6">
        <v>4456</v>
      </c>
      <c r="J77" s="6">
        <v>8550</v>
      </c>
      <c r="K77" s="6">
        <v>11012</v>
      </c>
      <c r="L77" s="6">
        <v>3836</v>
      </c>
      <c r="M77" s="6">
        <v>3825</v>
      </c>
      <c r="N77" s="6">
        <v>3596</v>
      </c>
      <c r="O77" s="10">
        <v>2713</v>
      </c>
    </row>
    <row r="78" spans="1:15" ht="16.5">
      <c r="A78" s="68"/>
      <c r="B78" s="32" t="s">
        <v>24</v>
      </c>
      <c r="C78" s="11">
        <v>-0.14929999999999999</v>
      </c>
      <c r="D78" s="11">
        <v>0.73180000000000001</v>
      </c>
      <c r="E78" s="11">
        <v>6.9999999999999999E-4</v>
      </c>
      <c r="F78" s="11">
        <v>-0.42559999999999998</v>
      </c>
      <c r="G78" s="11">
        <v>2.5899999999999999E-2</v>
      </c>
      <c r="H78" s="11">
        <v>-2.6499999999999999E-2</v>
      </c>
      <c r="I78" s="11">
        <v>0.1321</v>
      </c>
      <c r="J78" s="11">
        <v>0.91879999999999995</v>
      </c>
      <c r="K78" s="11">
        <v>0.28799999999999998</v>
      </c>
      <c r="L78" s="11">
        <v>-0.65169999999999995</v>
      </c>
      <c r="M78" s="11">
        <v>-2.8999999999999998E-3</v>
      </c>
      <c r="N78" s="11">
        <v>-5.9900000000000002E-2</v>
      </c>
      <c r="O78" s="12">
        <v>-0.24560000000000001</v>
      </c>
    </row>
    <row r="79" spans="1:15" ht="16.5">
      <c r="A79" s="68" t="s">
        <v>165</v>
      </c>
      <c r="B79" s="35" t="s">
        <v>25</v>
      </c>
      <c r="C79" s="7">
        <v>2956</v>
      </c>
      <c r="D79" s="7">
        <v>3325</v>
      </c>
      <c r="E79" s="7">
        <v>3385</v>
      </c>
      <c r="F79" s="7">
        <v>2932</v>
      </c>
      <c r="G79" s="7">
        <v>3067</v>
      </c>
      <c r="H79" s="7">
        <v>3156</v>
      </c>
      <c r="I79" s="7">
        <v>3205</v>
      </c>
      <c r="J79" s="7">
        <v>3462</v>
      </c>
      <c r="K79" s="7">
        <v>3381</v>
      </c>
      <c r="L79" s="7">
        <v>2965</v>
      </c>
      <c r="M79" s="7">
        <v>2989</v>
      </c>
      <c r="N79" s="7">
        <v>2856</v>
      </c>
      <c r="O79" s="8">
        <v>2795</v>
      </c>
    </row>
    <row r="80" spans="1:15" ht="16.5">
      <c r="A80" s="68"/>
      <c r="B80" s="36" t="s">
        <v>115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6.5">
      <c r="A81" s="68"/>
      <c r="B81" s="37" t="s">
        <v>26</v>
      </c>
      <c r="C81" s="3">
        <v>2630</v>
      </c>
      <c r="D81" s="3">
        <v>3036</v>
      </c>
      <c r="E81" s="3">
        <v>3037</v>
      </c>
      <c r="F81" s="3">
        <v>2564</v>
      </c>
      <c r="G81" s="3">
        <v>2574</v>
      </c>
      <c r="H81" s="3">
        <v>2547</v>
      </c>
      <c r="I81" s="3">
        <v>2764</v>
      </c>
      <c r="J81" s="3">
        <v>2963</v>
      </c>
      <c r="K81" s="3">
        <v>2844</v>
      </c>
      <c r="L81" s="3">
        <v>2310</v>
      </c>
      <c r="M81" s="3">
        <v>2429</v>
      </c>
      <c r="N81" s="3">
        <v>2410</v>
      </c>
      <c r="O81" s="15">
        <v>2397</v>
      </c>
    </row>
    <row r="82" spans="1:15" ht="16.5">
      <c r="A82" s="68"/>
      <c r="B82" s="37" t="s">
        <v>27</v>
      </c>
      <c r="C82" s="3">
        <v>3198</v>
      </c>
      <c r="D82" s="3">
        <v>3621</v>
      </c>
      <c r="E82" s="3">
        <v>3688</v>
      </c>
      <c r="F82" s="3">
        <v>3218</v>
      </c>
      <c r="G82" s="3">
        <v>3519</v>
      </c>
      <c r="H82" s="3">
        <v>3716</v>
      </c>
      <c r="I82" s="3">
        <v>3574</v>
      </c>
      <c r="J82" s="3">
        <v>4040</v>
      </c>
      <c r="K82" s="3">
        <v>4101</v>
      </c>
      <c r="L82" s="3">
        <v>3547</v>
      </c>
      <c r="M82" s="3">
        <v>3726</v>
      </c>
      <c r="N82" s="3">
        <v>3487</v>
      </c>
      <c r="O82" s="15">
        <v>3307</v>
      </c>
    </row>
    <row r="83" spans="1:15" ht="16.5">
      <c r="A83" s="68"/>
      <c r="B83" s="37" t="s">
        <v>28</v>
      </c>
      <c r="C83" s="3">
        <v>2631</v>
      </c>
      <c r="D83" s="3">
        <v>3175</v>
      </c>
      <c r="E83" s="3">
        <v>3167</v>
      </c>
      <c r="F83" s="3">
        <v>2628</v>
      </c>
      <c r="G83" s="3">
        <v>2646</v>
      </c>
      <c r="H83" s="3">
        <v>2739</v>
      </c>
      <c r="I83" s="3">
        <v>3251</v>
      </c>
      <c r="J83" s="3">
        <v>3495</v>
      </c>
      <c r="K83" s="3">
        <v>3438</v>
      </c>
      <c r="L83" s="3">
        <v>2496</v>
      </c>
      <c r="M83" s="3">
        <v>2404</v>
      </c>
      <c r="N83" s="3">
        <v>2323</v>
      </c>
      <c r="O83" s="15">
        <v>2388</v>
      </c>
    </row>
    <row r="84" spans="1:15" ht="16.5">
      <c r="A84" s="68" t="s">
        <v>164</v>
      </c>
      <c r="B84" s="29" t="s">
        <v>29</v>
      </c>
      <c r="C84" s="61">
        <v>2.7</v>
      </c>
      <c r="D84" s="61">
        <v>2.67</v>
      </c>
      <c r="E84" s="61">
        <v>2.54</v>
      </c>
      <c r="F84" s="61">
        <v>2.58</v>
      </c>
      <c r="G84" s="61">
        <v>2.48</v>
      </c>
      <c r="H84" s="61">
        <v>2.4</v>
      </c>
      <c r="I84" s="61">
        <v>2.34</v>
      </c>
      <c r="J84" s="61">
        <v>2.48</v>
      </c>
      <c r="K84" s="61">
        <v>2.31</v>
      </c>
      <c r="L84" s="61">
        <v>2.21</v>
      </c>
      <c r="M84" s="61">
        <v>2.16</v>
      </c>
      <c r="N84" s="61">
        <v>2.0699999999999998</v>
      </c>
      <c r="O84" s="62">
        <v>2.09</v>
      </c>
    </row>
    <row r="85" spans="1:15" ht="16.5">
      <c r="A85" s="68"/>
      <c r="B85" s="38" t="s">
        <v>91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10"/>
    </row>
    <row r="86" spans="1:15" ht="16.5">
      <c r="A86" s="68"/>
      <c r="B86" s="30" t="s">
        <v>30</v>
      </c>
      <c r="C86" s="3">
        <v>1.59</v>
      </c>
      <c r="D86" s="3">
        <v>1.72</v>
      </c>
      <c r="E86" s="3">
        <v>1.65</v>
      </c>
      <c r="F86" s="3">
        <v>1.57</v>
      </c>
      <c r="G86" s="3">
        <v>1.58</v>
      </c>
      <c r="H86" s="3">
        <v>1.56</v>
      </c>
      <c r="I86" s="3">
        <v>1.56</v>
      </c>
      <c r="J86" s="3">
        <v>1.71</v>
      </c>
      <c r="K86" s="3">
        <v>1.67</v>
      </c>
      <c r="L86" s="3">
        <v>1.46</v>
      </c>
      <c r="M86" s="3">
        <v>1.47</v>
      </c>
      <c r="N86" s="3">
        <v>1.48</v>
      </c>
      <c r="O86" s="15">
        <v>1.46</v>
      </c>
    </row>
    <row r="87" spans="1:15" ht="16.5">
      <c r="A87" s="68"/>
      <c r="B87" s="30" t="s">
        <v>31</v>
      </c>
      <c r="C87" s="3">
        <v>5.44</v>
      </c>
      <c r="D87" s="3">
        <v>6.1</v>
      </c>
      <c r="E87" s="3">
        <v>4.7699999999999996</v>
      </c>
      <c r="F87" s="3">
        <v>5.09</v>
      </c>
      <c r="G87" s="3">
        <v>5.19</v>
      </c>
      <c r="H87" s="3">
        <v>4.93</v>
      </c>
      <c r="I87" s="3">
        <v>4.84</v>
      </c>
      <c r="J87" s="3">
        <v>5.75</v>
      </c>
      <c r="K87" s="3">
        <v>5.23</v>
      </c>
      <c r="L87" s="3">
        <v>4.0999999999999996</v>
      </c>
      <c r="M87" s="3">
        <v>4.66</v>
      </c>
      <c r="N87" s="3">
        <v>4.38</v>
      </c>
      <c r="O87" s="15">
        <v>4.1900000000000004</v>
      </c>
    </row>
    <row r="88" spans="1:15" ht="16.5">
      <c r="A88" s="68"/>
      <c r="B88" s="32" t="s">
        <v>32</v>
      </c>
      <c r="C88" s="16">
        <v>1.73</v>
      </c>
      <c r="D88" s="16">
        <v>2.17</v>
      </c>
      <c r="E88" s="16">
        <v>1.85</v>
      </c>
      <c r="F88" s="16">
        <v>1.71</v>
      </c>
      <c r="G88" s="16">
        <v>1.68</v>
      </c>
      <c r="H88" s="16">
        <v>1.68</v>
      </c>
      <c r="I88" s="16">
        <v>1.9</v>
      </c>
      <c r="J88" s="16">
        <v>2.31</v>
      </c>
      <c r="K88" s="16">
        <v>2.11</v>
      </c>
      <c r="L88" s="16">
        <v>1.62</v>
      </c>
      <c r="M88" s="16">
        <v>1.71</v>
      </c>
      <c r="N88" s="16">
        <v>1.58</v>
      </c>
      <c r="O88" s="17">
        <v>1.54</v>
      </c>
    </row>
    <row r="91" spans="1:15" ht="24">
      <c r="A91" s="60" t="s">
        <v>207</v>
      </c>
      <c r="O91" s="3">
        <v>6176</v>
      </c>
    </row>
    <row r="92" spans="1:15" ht="16.5">
      <c r="A92" s="28" t="s">
        <v>190</v>
      </c>
      <c r="B92" s="28"/>
      <c r="C92" s="28"/>
      <c r="D92" s="28"/>
      <c r="E92" s="28"/>
      <c r="F92" s="28"/>
      <c r="G92" s="28"/>
      <c r="O92" s="2">
        <f>O91/O84</f>
        <v>2955.0239234449764</v>
      </c>
    </row>
    <row r="93" spans="1:15" ht="16.5">
      <c r="A93" s="28"/>
      <c r="B93" s="28"/>
      <c r="C93" s="58" t="s">
        <v>193</v>
      </c>
      <c r="D93" s="58" t="s">
        <v>191</v>
      </c>
      <c r="E93" s="58" t="s">
        <v>200</v>
      </c>
      <c r="F93" s="58" t="s">
        <v>194</v>
      </c>
      <c r="G93" s="58" t="s">
        <v>204</v>
      </c>
    </row>
    <row r="94" spans="1:15" ht="21">
      <c r="A94" s="69" t="s">
        <v>210</v>
      </c>
      <c r="B94" s="70"/>
      <c r="C94" s="28" t="s">
        <v>201</v>
      </c>
      <c r="D94" s="28" t="s">
        <v>197</v>
      </c>
      <c r="E94" s="56">
        <v>83141213</v>
      </c>
      <c r="F94" s="28" t="s">
        <v>198</v>
      </c>
      <c r="G94" s="28"/>
    </row>
    <row r="95" spans="1:15" ht="16.5">
      <c r="A95" s="28"/>
      <c r="B95" s="28"/>
      <c r="C95" s="28"/>
      <c r="D95" s="28"/>
      <c r="E95" s="28"/>
      <c r="F95" s="28"/>
      <c r="G95" s="28"/>
    </row>
    <row r="96" spans="1:15" ht="16.5">
      <c r="A96" s="28"/>
      <c r="B96" s="28"/>
      <c r="C96" s="58" t="s">
        <v>193</v>
      </c>
      <c r="D96" s="58" t="s">
        <v>191</v>
      </c>
      <c r="E96" s="58" t="s">
        <v>202</v>
      </c>
      <c r="F96" s="58" t="s">
        <v>194</v>
      </c>
      <c r="G96" s="28"/>
    </row>
    <row r="97" spans="1:7" ht="49.5">
      <c r="A97" s="68" t="s">
        <v>156</v>
      </c>
      <c r="B97" s="28"/>
      <c r="C97" s="28"/>
      <c r="D97" s="57" t="s">
        <v>199</v>
      </c>
      <c r="E97" s="56">
        <v>255252168</v>
      </c>
      <c r="F97" s="57" t="s">
        <v>192</v>
      </c>
      <c r="G97" s="28"/>
    </row>
    <row r="98" spans="1:7" ht="16.5">
      <c r="A98" s="68"/>
      <c r="B98" s="28"/>
      <c r="C98" s="28"/>
      <c r="D98" s="28"/>
      <c r="E98" s="28"/>
      <c r="F98" s="28"/>
      <c r="G98" s="28"/>
    </row>
    <row r="99" spans="1:7" ht="16.5">
      <c r="A99" s="68"/>
      <c r="B99" s="28"/>
      <c r="C99" s="28"/>
      <c r="D99" s="28"/>
      <c r="E99" s="28"/>
      <c r="F99" s="28"/>
      <c r="G99" s="28"/>
    </row>
    <row r="100" spans="1:7" ht="16.5">
      <c r="A100" s="68"/>
      <c r="B100" s="28"/>
      <c r="C100" s="28"/>
      <c r="D100" s="28"/>
      <c r="E100" s="28"/>
      <c r="F100" s="28"/>
      <c r="G100" s="28"/>
    </row>
    <row r="101" spans="1:7" ht="16.5">
      <c r="A101" s="68"/>
      <c r="B101" s="28"/>
      <c r="C101" s="28"/>
      <c r="D101" s="28"/>
      <c r="E101" s="28"/>
      <c r="F101" s="28"/>
      <c r="G101" s="28"/>
    </row>
    <row r="102" spans="1:7" ht="16.5">
      <c r="A102" s="28"/>
      <c r="B102" s="28"/>
      <c r="C102" s="28"/>
      <c r="D102" s="28"/>
      <c r="E102" s="28"/>
      <c r="F102" s="28"/>
      <c r="G102" s="28"/>
    </row>
    <row r="103" spans="1:7" ht="16.5">
      <c r="A103" s="39" t="s">
        <v>34</v>
      </c>
      <c r="B103" s="28"/>
      <c r="C103" s="28" t="s">
        <v>206</v>
      </c>
      <c r="D103" s="28" t="s">
        <v>195</v>
      </c>
      <c r="E103" s="56">
        <v>83141213</v>
      </c>
      <c r="F103" s="28"/>
      <c r="G103" s="28" t="s">
        <v>203</v>
      </c>
    </row>
    <row r="104" spans="1:7" ht="16.5">
      <c r="A104" s="28"/>
      <c r="B104" s="28"/>
      <c r="C104" s="28"/>
      <c r="D104" s="28"/>
      <c r="E104" s="28"/>
      <c r="F104" s="28"/>
      <c r="G104" s="28"/>
    </row>
    <row r="105" spans="1:7" ht="66.75">
      <c r="A105" s="59">
        <v>1139068</v>
      </c>
      <c r="B105" s="28"/>
      <c r="C105" s="57" t="s">
        <v>209</v>
      </c>
      <c r="D105" s="28" t="s">
        <v>196</v>
      </c>
      <c r="E105" s="56">
        <v>197217241</v>
      </c>
      <c r="F105" s="28"/>
      <c r="G105" s="28" t="s">
        <v>205</v>
      </c>
    </row>
    <row r="106" spans="1:7" ht="16.5">
      <c r="A106" s="28"/>
      <c r="B106" s="28"/>
      <c r="C106" s="28"/>
      <c r="D106" s="28"/>
      <c r="E106" s="28"/>
      <c r="F106" s="28"/>
      <c r="G106" s="28"/>
    </row>
    <row r="107" spans="1:7" ht="16.5">
      <c r="A107" s="28" t="s">
        <v>208</v>
      </c>
      <c r="B107" s="28"/>
      <c r="C107" s="28"/>
      <c r="D107" s="28"/>
      <c r="E107" s="28"/>
      <c r="F107" s="28"/>
      <c r="G107" s="28"/>
    </row>
    <row r="108" spans="1:7" ht="16.5">
      <c r="A108" s="28"/>
      <c r="B108" s="28"/>
      <c r="C108" s="28"/>
      <c r="D108" s="28"/>
      <c r="E108" s="28"/>
      <c r="F108" s="28"/>
      <c r="G108" s="28"/>
    </row>
  </sheetData>
  <sheetProtection formatCells="0" formatColumns="0" formatRows="0" insertColumns="0" insertRows="0" insertHyperlinks="0" deleteColumns="0" deleteRows="0" sort="0" autoFilter="0" pivotTables="0"/>
  <mergeCells count="19">
    <mergeCell ref="A66:A70"/>
    <mergeCell ref="A71:A74"/>
    <mergeCell ref="A75:A78"/>
    <mergeCell ref="A94:B94"/>
    <mergeCell ref="A97:A101"/>
    <mergeCell ref="A79:A83"/>
    <mergeCell ref="A84:A88"/>
    <mergeCell ref="A53:A62"/>
    <mergeCell ref="A63:A65"/>
    <mergeCell ref="A1:B1"/>
    <mergeCell ref="A2:A7"/>
    <mergeCell ref="A27:A31"/>
    <mergeCell ref="A32:A35"/>
    <mergeCell ref="A52:B52"/>
    <mergeCell ref="A8:A13"/>
    <mergeCell ref="A14:A19"/>
    <mergeCell ref="A20:A26"/>
    <mergeCell ref="A43:A49"/>
    <mergeCell ref="A36:A4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opLeftCell="A4" workbookViewId="0">
      <selection activeCell="I91" sqref="I91"/>
    </sheetView>
  </sheetViews>
  <sheetFormatPr defaultRowHeight="16.5"/>
  <cols>
    <col min="1" max="1" width="22.5703125" style="27" bestFit="1" customWidth="1"/>
    <col min="2" max="2" width="30.5703125" style="27" bestFit="1" customWidth="1"/>
    <col min="3" max="3" width="61.140625" style="42" bestFit="1" customWidth="1"/>
    <col min="4" max="4" width="9.140625" style="27"/>
    <col min="5" max="5" width="13" style="27" bestFit="1" customWidth="1"/>
    <col min="6" max="16384" width="9.140625" style="27"/>
  </cols>
  <sheetData>
    <row r="1" spans="1:6" ht="21">
      <c r="A1" s="69" t="s">
        <v>210</v>
      </c>
      <c r="B1" s="70"/>
      <c r="C1" s="52" t="s">
        <v>141</v>
      </c>
      <c r="D1" s="28"/>
      <c r="E1" s="66" t="s">
        <v>212</v>
      </c>
    </row>
    <row r="2" spans="1:6" ht="17.25">
      <c r="A2" s="73" t="s">
        <v>157</v>
      </c>
      <c r="B2" s="31" t="s">
        <v>34</v>
      </c>
      <c r="C2" s="49" t="s">
        <v>127</v>
      </c>
      <c r="E2" s="27" t="s">
        <v>213</v>
      </c>
      <c r="F2" s="63" t="s">
        <v>215</v>
      </c>
    </row>
    <row r="3" spans="1:6" ht="17.25">
      <c r="A3" s="71"/>
      <c r="B3" s="30" t="s">
        <v>35</v>
      </c>
      <c r="C3" s="50"/>
      <c r="E3" s="27" t="s">
        <v>214</v>
      </c>
      <c r="F3" s="63" t="s">
        <v>216</v>
      </c>
    </row>
    <row r="4" spans="1:6" ht="17.25">
      <c r="A4" s="71"/>
      <c r="B4" s="31" t="s">
        <v>36</v>
      </c>
      <c r="C4" s="50" t="s">
        <v>130</v>
      </c>
      <c r="E4" s="27" t="s">
        <v>219</v>
      </c>
      <c r="F4" s="63" t="s">
        <v>220</v>
      </c>
    </row>
    <row r="5" spans="1:6" ht="17.25">
      <c r="A5" s="71"/>
      <c r="B5" s="30" t="s">
        <v>37</v>
      </c>
      <c r="C5" s="50"/>
    </row>
    <row r="6" spans="1:6" ht="17.25">
      <c r="A6" s="71"/>
      <c r="B6" s="31" t="s">
        <v>116</v>
      </c>
      <c r="C6" s="50" t="s">
        <v>128</v>
      </c>
    </row>
    <row r="7" spans="1:6" ht="17.25">
      <c r="A7" s="71"/>
      <c r="B7" s="32" t="s">
        <v>117</v>
      </c>
      <c r="C7" s="51"/>
    </row>
    <row r="8" spans="1:6" ht="17.25">
      <c r="A8" s="71" t="s">
        <v>159</v>
      </c>
      <c r="B8" s="29" t="s">
        <v>47</v>
      </c>
      <c r="C8" s="49" t="s">
        <v>217</v>
      </c>
    </row>
    <row r="9" spans="1:6" ht="17.25">
      <c r="A9" s="71"/>
      <c r="B9" s="30" t="s">
        <v>48</v>
      </c>
      <c r="C9" s="50"/>
    </row>
    <row r="10" spans="1:6" ht="17.25">
      <c r="A10" s="71"/>
      <c r="B10" s="34" t="s">
        <v>49</v>
      </c>
      <c r="C10" s="50" t="s">
        <v>218</v>
      </c>
    </row>
    <row r="11" spans="1:6" ht="17.25">
      <c r="A11" s="71"/>
      <c r="B11" s="30" t="s">
        <v>50</v>
      </c>
      <c r="C11" s="50"/>
    </row>
    <row r="12" spans="1:6" ht="17.25">
      <c r="A12" s="71"/>
      <c r="B12" s="34" t="s">
        <v>51</v>
      </c>
      <c r="C12" s="50"/>
    </row>
    <row r="13" spans="1:6" ht="17.25">
      <c r="A13" s="71"/>
      <c r="B13" s="32" t="s">
        <v>52</v>
      </c>
      <c r="C13" s="51"/>
    </row>
    <row r="14" spans="1:6" ht="17.25">
      <c r="A14" s="71" t="s">
        <v>158</v>
      </c>
      <c r="B14" s="29" t="s">
        <v>54</v>
      </c>
      <c r="C14" s="49"/>
    </row>
    <row r="15" spans="1:6" ht="17.25">
      <c r="A15" s="71"/>
      <c r="B15" s="30" t="s">
        <v>55</v>
      </c>
      <c r="C15" s="50"/>
    </row>
    <row r="16" spans="1:6" ht="17.25">
      <c r="A16" s="71"/>
      <c r="B16" s="34" t="s">
        <v>56</v>
      </c>
      <c r="C16" s="50"/>
    </row>
    <row r="17" spans="1:3" ht="17.25">
      <c r="A17" s="71"/>
      <c r="B17" s="34" t="s">
        <v>57</v>
      </c>
      <c r="C17" s="50"/>
    </row>
    <row r="18" spans="1:3" ht="17.25">
      <c r="A18" s="71"/>
      <c r="B18" s="34" t="s">
        <v>58</v>
      </c>
      <c r="C18" s="50"/>
    </row>
    <row r="19" spans="1:3" ht="17.25">
      <c r="A19" s="71"/>
      <c r="B19" s="32" t="s">
        <v>59</v>
      </c>
      <c r="C19" s="51"/>
    </row>
    <row r="20" spans="1:3" ht="17.25">
      <c r="A20" s="71" t="s">
        <v>160</v>
      </c>
      <c r="B20" s="29" t="s">
        <v>97</v>
      </c>
      <c r="C20" s="49" t="s">
        <v>134</v>
      </c>
    </row>
    <row r="21" spans="1:3" ht="17.25">
      <c r="A21" s="71"/>
      <c r="B21" s="30" t="s">
        <v>39</v>
      </c>
      <c r="C21" s="50" t="s">
        <v>187</v>
      </c>
    </row>
    <row r="22" spans="1:3" ht="17.25">
      <c r="A22" s="71"/>
      <c r="B22" s="30" t="s">
        <v>138</v>
      </c>
      <c r="C22" s="50" t="s">
        <v>139</v>
      </c>
    </row>
    <row r="23" spans="1:3" ht="17.25">
      <c r="A23" s="71"/>
      <c r="B23" s="32" t="s">
        <v>41</v>
      </c>
      <c r="C23" s="50" t="s">
        <v>188</v>
      </c>
    </row>
    <row r="24" spans="1:3" ht="17.25">
      <c r="A24" s="71"/>
      <c r="B24" s="29" t="s">
        <v>100</v>
      </c>
      <c r="C24" s="50" t="s">
        <v>135</v>
      </c>
    </row>
    <row r="25" spans="1:3" ht="17.25">
      <c r="A25" s="71"/>
      <c r="B25" s="30" t="s">
        <v>101</v>
      </c>
      <c r="C25" s="50"/>
    </row>
    <row r="26" spans="1:3" ht="17.25">
      <c r="A26" s="71"/>
      <c r="B26" s="32" t="s">
        <v>102</v>
      </c>
      <c r="C26" s="51"/>
    </row>
    <row r="27" spans="1:3" ht="17.25">
      <c r="A27" s="71" t="s">
        <v>96</v>
      </c>
      <c r="B27" s="29" t="s">
        <v>96</v>
      </c>
      <c r="C27" s="49" t="s">
        <v>129</v>
      </c>
    </row>
    <row r="28" spans="1:3" ht="17.25">
      <c r="A28" s="71"/>
      <c r="B28" s="30" t="s">
        <v>118</v>
      </c>
      <c r="C28" s="50"/>
    </row>
    <row r="29" spans="1:3" ht="17.25">
      <c r="A29" s="71"/>
      <c r="B29" s="30" t="s">
        <v>99</v>
      </c>
      <c r="C29" s="50" t="s">
        <v>131</v>
      </c>
    </row>
    <row r="30" spans="1:3" ht="17.25">
      <c r="A30" s="71"/>
      <c r="B30" s="30" t="s">
        <v>94</v>
      </c>
      <c r="C30" s="50" t="s">
        <v>132</v>
      </c>
    </row>
    <row r="31" spans="1:3" ht="17.25">
      <c r="A31" s="71"/>
      <c r="B31" s="32" t="s">
        <v>95</v>
      </c>
      <c r="C31" s="51" t="s">
        <v>133</v>
      </c>
    </row>
    <row r="32" spans="1:3" ht="17.25">
      <c r="A32" s="71" t="s">
        <v>162</v>
      </c>
      <c r="B32" s="29" t="s">
        <v>98</v>
      </c>
      <c r="C32" s="49" t="s">
        <v>142</v>
      </c>
    </row>
    <row r="33" spans="1:3" ht="17.25">
      <c r="A33" s="71"/>
      <c r="B33" s="30" t="s">
        <v>42</v>
      </c>
      <c r="C33" s="50" t="s">
        <v>143</v>
      </c>
    </row>
    <row r="34" spans="1:3" ht="17.25">
      <c r="A34" s="71"/>
      <c r="B34" s="30" t="s">
        <v>144</v>
      </c>
      <c r="C34" s="50" t="s">
        <v>145</v>
      </c>
    </row>
    <row r="35" spans="1:3" ht="17.25">
      <c r="A35" s="71"/>
      <c r="B35" s="32" t="s">
        <v>43</v>
      </c>
      <c r="C35" s="51" t="s">
        <v>146</v>
      </c>
    </row>
    <row r="36" spans="1:3" ht="17.25">
      <c r="A36" s="71" t="s">
        <v>161</v>
      </c>
      <c r="B36" s="29" t="s">
        <v>103</v>
      </c>
      <c r="C36" s="49"/>
    </row>
    <row r="37" spans="1:3" ht="17.25">
      <c r="A37" s="71"/>
      <c r="B37" s="30" t="s">
        <v>104</v>
      </c>
      <c r="C37" s="50"/>
    </row>
    <row r="38" spans="1:3" ht="17.25">
      <c r="A38" s="71"/>
      <c r="B38" s="30" t="s">
        <v>155</v>
      </c>
      <c r="C38" s="50"/>
    </row>
    <row r="39" spans="1:3" ht="17.25">
      <c r="A39" s="71"/>
      <c r="B39" s="30" t="s">
        <v>105</v>
      </c>
      <c r="C39" s="50"/>
    </row>
    <row r="40" spans="1:3" ht="17.25">
      <c r="A40" s="74"/>
      <c r="B40" s="31" t="s">
        <v>106</v>
      </c>
      <c r="C40" s="50"/>
    </row>
    <row r="41" spans="1:3" ht="17.25">
      <c r="A41" s="71"/>
      <c r="B41" s="30" t="s">
        <v>107</v>
      </c>
      <c r="C41" s="50"/>
    </row>
    <row r="42" spans="1:3" ht="17.25">
      <c r="A42" s="71"/>
      <c r="B42" s="32" t="s">
        <v>108</v>
      </c>
      <c r="C42" s="51"/>
    </row>
    <row r="43" spans="1:3" ht="17.25">
      <c r="A43" s="71" t="s">
        <v>119</v>
      </c>
      <c r="B43" s="29" t="s">
        <v>120</v>
      </c>
      <c r="C43" s="49" t="s">
        <v>153</v>
      </c>
    </row>
    <row r="44" spans="1:3" ht="17.25">
      <c r="A44" s="71"/>
      <c r="B44" s="30" t="s">
        <v>121</v>
      </c>
      <c r="C44" s="50" t="s">
        <v>154</v>
      </c>
    </row>
    <row r="45" spans="1:3" ht="17.25">
      <c r="A45" s="71"/>
      <c r="B45" s="30" t="s">
        <v>148</v>
      </c>
      <c r="C45" s="50" t="s">
        <v>147</v>
      </c>
    </row>
    <row r="46" spans="1:3" ht="17.25">
      <c r="A46" s="71"/>
      <c r="B46" s="32" t="s">
        <v>122</v>
      </c>
      <c r="C46" s="50" t="s">
        <v>149</v>
      </c>
    </row>
    <row r="47" spans="1:3" ht="17.25">
      <c r="A47" s="71"/>
      <c r="B47" s="29" t="s">
        <v>123</v>
      </c>
      <c r="C47" s="50" t="s">
        <v>150</v>
      </c>
    </row>
    <row r="48" spans="1:3" ht="17.25">
      <c r="A48" s="71"/>
      <c r="B48" s="30" t="s">
        <v>124</v>
      </c>
      <c r="C48" s="50" t="s">
        <v>151</v>
      </c>
    </row>
    <row r="49" spans="1:3" ht="17.25">
      <c r="A49" s="71"/>
      <c r="B49" s="32" t="s">
        <v>125</v>
      </c>
      <c r="C49" s="51" t="s">
        <v>152</v>
      </c>
    </row>
    <row r="50" spans="1:3">
      <c r="A50" s="28"/>
      <c r="B50" s="28"/>
    </row>
    <row r="51" spans="1:3">
      <c r="A51" s="28"/>
      <c r="B51" s="28"/>
    </row>
    <row r="52" spans="1:3" ht="21">
      <c r="A52" s="69" t="s">
        <v>211</v>
      </c>
      <c r="B52" s="70"/>
      <c r="C52" s="52" t="s">
        <v>141</v>
      </c>
    </row>
    <row r="53" spans="1:3" ht="17.25">
      <c r="A53" s="68" t="s">
        <v>109</v>
      </c>
      <c r="B53" s="29" t="s">
        <v>0</v>
      </c>
      <c r="C53" s="49" t="s">
        <v>166</v>
      </c>
    </row>
    <row r="54" spans="1:3" ht="17.25">
      <c r="A54" s="68"/>
      <c r="B54" s="30" t="s">
        <v>1</v>
      </c>
      <c r="C54" s="50"/>
    </row>
    <row r="55" spans="1:3" ht="17.25">
      <c r="A55" s="68"/>
      <c r="B55" s="31" t="s">
        <v>2</v>
      </c>
      <c r="C55" s="64" t="s">
        <v>168</v>
      </c>
    </row>
    <row r="56" spans="1:3" ht="17.25">
      <c r="A56" s="68"/>
      <c r="B56" s="30" t="s">
        <v>3</v>
      </c>
      <c r="C56" s="50"/>
    </row>
    <row r="57" spans="1:3" ht="17.25">
      <c r="A57" s="68"/>
      <c r="B57" s="31" t="s">
        <v>8</v>
      </c>
      <c r="C57" s="50" t="s">
        <v>169</v>
      </c>
    </row>
    <row r="58" spans="1:3" ht="17.25">
      <c r="A58" s="68"/>
      <c r="B58" s="30" t="s">
        <v>9</v>
      </c>
      <c r="C58" s="50"/>
    </row>
    <row r="59" spans="1:3" ht="17.25">
      <c r="A59" s="68"/>
      <c r="B59" s="31" t="s">
        <v>10</v>
      </c>
      <c r="C59" s="50" t="s">
        <v>171</v>
      </c>
    </row>
    <row r="60" spans="1:3" ht="17.25">
      <c r="A60" s="68"/>
      <c r="B60" s="30" t="s">
        <v>11</v>
      </c>
      <c r="C60" s="50"/>
    </row>
    <row r="61" spans="1:3" ht="17.25">
      <c r="A61" s="68"/>
      <c r="B61" s="31" t="s">
        <v>12</v>
      </c>
      <c r="C61" s="50" t="s">
        <v>173</v>
      </c>
    </row>
    <row r="62" spans="1:3" ht="17.25">
      <c r="A62" s="68"/>
      <c r="B62" s="32" t="s">
        <v>13</v>
      </c>
      <c r="C62" s="51"/>
    </row>
    <row r="63" spans="1:3" ht="17.25">
      <c r="A63" s="68" t="s">
        <v>110</v>
      </c>
      <c r="B63" s="33" t="s">
        <v>4</v>
      </c>
      <c r="C63" s="49"/>
    </row>
    <row r="64" spans="1:3" ht="17.25">
      <c r="A64" s="68"/>
      <c r="B64" s="30" t="s">
        <v>5</v>
      </c>
      <c r="C64" s="50"/>
    </row>
    <row r="65" spans="1:4" ht="17.25">
      <c r="A65" s="68"/>
      <c r="B65" s="32" t="s">
        <v>6</v>
      </c>
      <c r="C65" s="51"/>
    </row>
    <row r="66" spans="1:4" ht="17.25">
      <c r="A66" s="68" t="s">
        <v>111</v>
      </c>
      <c r="B66" s="29" t="s">
        <v>14</v>
      </c>
      <c r="C66" s="49" t="s">
        <v>65</v>
      </c>
    </row>
    <row r="67" spans="1:4" ht="17.25">
      <c r="A67" s="68"/>
      <c r="B67" s="30" t="s">
        <v>15</v>
      </c>
      <c r="C67" s="50"/>
    </row>
    <row r="68" spans="1:4" ht="17.25">
      <c r="A68" s="68"/>
      <c r="B68" s="31" t="s">
        <v>176</v>
      </c>
      <c r="C68" s="64" t="s">
        <v>67</v>
      </c>
    </row>
    <row r="69" spans="1:4" ht="17.25">
      <c r="A69" s="68"/>
      <c r="B69" s="30" t="s">
        <v>18</v>
      </c>
      <c r="C69" s="64" t="s">
        <v>68</v>
      </c>
    </row>
    <row r="70" spans="1:4" ht="17.25">
      <c r="A70" s="68"/>
      <c r="B70" s="32" t="s">
        <v>112</v>
      </c>
      <c r="C70" s="65" t="s">
        <v>69</v>
      </c>
    </row>
    <row r="71" spans="1:4" ht="17.25">
      <c r="A71" s="68" t="s">
        <v>114</v>
      </c>
      <c r="B71" s="29" t="s">
        <v>16</v>
      </c>
      <c r="C71" s="49" t="s">
        <v>175</v>
      </c>
    </row>
    <row r="72" spans="1:4" ht="17.25">
      <c r="A72" s="68"/>
      <c r="B72" s="34" t="s">
        <v>92</v>
      </c>
      <c r="C72" s="50" t="s">
        <v>177</v>
      </c>
    </row>
    <row r="73" spans="1:4" ht="17.25">
      <c r="A73" s="68"/>
      <c r="B73" s="30" t="s">
        <v>93</v>
      </c>
      <c r="C73" s="50" t="s">
        <v>178</v>
      </c>
    </row>
    <row r="74" spans="1:4" ht="17.25">
      <c r="A74" s="68"/>
      <c r="B74" s="32" t="s">
        <v>113</v>
      </c>
      <c r="C74" s="51" t="s">
        <v>179</v>
      </c>
    </row>
    <row r="75" spans="1:4" ht="17.25">
      <c r="A75" s="68" t="s">
        <v>163</v>
      </c>
      <c r="B75" s="29" t="s">
        <v>21</v>
      </c>
      <c r="C75" s="49" t="s">
        <v>71</v>
      </c>
    </row>
    <row r="76" spans="1:4" ht="17.25">
      <c r="A76" s="68"/>
      <c r="B76" s="30" t="s">
        <v>22</v>
      </c>
      <c r="C76" s="50"/>
    </row>
    <row r="77" spans="1:4" ht="17.25">
      <c r="A77" s="68"/>
      <c r="B77" s="31" t="s">
        <v>23</v>
      </c>
      <c r="C77" s="64" t="s">
        <v>182</v>
      </c>
    </row>
    <row r="78" spans="1:4" ht="17.25">
      <c r="A78" s="68"/>
      <c r="B78" s="32" t="s">
        <v>24</v>
      </c>
      <c r="C78" s="51"/>
    </row>
    <row r="79" spans="1:4" ht="17.25">
      <c r="A79" s="68" t="s">
        <v>165</v>
      </c>
      <c r="B79" s="29" t="s">
        <v>25</v>
      </c>
      <c r="C79" s="67" t="s">
        <v>73</v>
      </c>
      <c r="D79" s="63" t="s">
        <v>221</v>
      </c>
    </row>
    <row r="80" spans="1:4" ht="17.25">
      <c r="A80" s="68"/>
      <c r="B80" s="38" t="s">
        <v>115</v>
      </c>
      <c r="C80" s="64" t="s">
        <v>185</v>
      </c>
    </row>
    <row r="81" spans="1:3" ht="17.25">
      <c r="A81" s="68"/>
      <c r="B81" s="30" t="s">
        <v>26</v>
      </c>
      <c r="C81" s="64" t="s">
        <v>74</v>
      </c>
    </row>
    <row r="82" spans="1:3" ht="17.25">
      <c r="A82" s="68"/>
      <c r="B82" s="30" t="s">
        <v>27</v>
      </c>
      <c r="C82" s="64" t="s">
        <v>75</v>
      </c>
    </row>
    <row r="83" spans="1:3" ht="17.25">
      <c r="A83" s="68"/>
      <c r="B83" s="32" t="s">
        <v>28</v>
      </c>
      <c r="C83" s="65" t="s">
        <v>76</v>
      </c>
    </row>
    <row r="84" spans="1:3" ht="17.25">
      <c r="A84" s="68" t="s">
        <v>164</v>
      </c>
      <c r="B84" s="29" t="s">
        <v>29</v>
      </c>
      <c r="C84" s="67" t="s">
        <v>77</v>
      </c>
    </row>
    <row r="85" spans="1:3" ht="17.25">
      <c r="A85" s="68"/>
      <c r="B85" s="38" t="s">
        <v>189</v>
      </c>
      <c r="C85" s="64" t="s">
        <v>186</v>
      </c>
    </row>
    <row r="86" spans="1:3" ht="17.25">
      <c r="A86" s="68"/>
      <c r="B86" s="30" t="s">
        <v>30</v>
      </c>
      <c r="C86" s="64" t="s">
        <v>78</v>
      </c>
    </row>
    <row r="87" spans="1:3" ht="17.25">
      <c r="A87" s="68"/>
      <c r="B87" s="30" t="s">
        <v>31</v>
      </c>
      <c r="C87" s="64" t="s">
        <v>79</v>
      </c>
    </row>
    <row r="88" spans="1:3" ht="17.25">
      <c r="A88" s="68"/>
      <c r="B88" s="32" t="s">
        <v>32</v>
      </c>
      <c r="C88" s="65" t="s">
        <v>80</v>
      </c>
    </row>
  </sheetData>
  <mergeCells count="17">
    <mergeCell ref="A63:A65"/>
    <mergeCell ref="A1:B1"/>
    <mergeCell ref="A2:A7"/>
    <mergeCell ref="A27:A31"/>
    <mergeCell ref="A20:A26"/>
    <mergeCell ref="A32:A35"/>
    <mergeCell ref="A43:A49"/>
    <mergeCell ref="A36:A42"/>
    <mergeCell ref="A8:A13"/>
    <mergeCell ref="A14:A19"/>
    <mergeCell ref="A52:B52"/>
    <mergeCell ref="A53:A62"/>
    <mergeCell ref="A66:A70"/>
    <mergeCell ref="A71:A74"/>
    <mergeCell ref="A75:A78"/>
    <mergeCell ref="A79:A83"/>
    <mergeCell ref="A84:A8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B21" sqref="B21:B24"/>
    </sheetView>
  </sheetViews>
  <sheetFormatPr defaultRowHeight="15"/>
  <cols>
    <col min="1" max="1" width="30" customWidth="1"/>
    <col min="2" max="2" width="80" customWidth="1"/>
  </cols>
  <sheetData>
    <row r="1" spans="1:2" ht="16.5">
      <c r="A1" s="1" t="s">
        <v>60</v>
      </c>
      <c r="B1" s="1" t="s">
        <v>61</v>
      </c>
    </row>
    <row r="2" spans="1:2" ht="16.5">
      <c r="A2" s="1" t="s">
        <v>0</v>
      </c>
      <c r="B2" s="1" t="s">
        <v>62</v>
      </c>
    </row>
    <row r="3" spans="1:2" ht="16.5">
      <c r="A3" s="1" t="s">
        <v>2</v>
      </c>
      <c r="B3" s="1" t="s">
        <v>167</v>
      </c>
    </row>
    <row r="4" spans="1:2" ht="16.5">
      <c r="A4" s="1" t="s">
        <v>7</v>
      </c>
      <c r="B4" s="1" t="s">
        <v>63</v>
      </c>
    </row>
    <row r="5" spans="1:2" ht="16.5">
      <c r="A5" s="1" t="s">
        <v>8</v>
      </c>
      <c r="B5" s="1" t="s">
        <v>64</v>
      </c>
    </row>
    <row r="6" spans="1:2" ht="16.5">
      <c r="A6" s="1" t="s">
        <v>10</v>
      </c>
      <c r="B6" s="1" t="s">
        <v>170</v>
      </c>
    </row>
    <row r="7" spans="1:2" ht="16.5">
      <c r="A7" s="1" t="s">
        <v>12</v>
      </c>
      <c r="B7" s="1" t="s">
        <v>172</v>
      </c>
    </row>
    <row r="8" spans="1:2" ht="16.5">
      <c r="A8" s="1" t="s">
        <v>14</v>
      </c>
      <c r="B8" s="1" t="s">
        <v>174</v>
      </c>
    </row>
    <row r="9" spans="1:2" ht="16.5">
      <c r="A9" s="1" t="s">
        <v>16</v>
      </c>
      <c r="B9" s="1" t="s">
        <v>66</v>
      </c>
    </row>
    <row r="10" spans="1:2" ht="16.5">
      <c r="A10" s="1" t="s">
        <v>17</v>
      </c>
      <c r="B10" s="1" t="s">
        <v>67</v>
      </c>
    </row>
    <row r="11" spans="1:2" ht="16.5">
      <c r="A11" s="1" t="s">
        <v>18</v>
      </c>
      <c r="B11" s="1" t="s">
        <v>68</v>
      </c>
    </row>
    <row r="12" spans="1:2" ht="16.5">
      <c r="A12" s="1" t="s">
        <v>19</v>
      </c>
      <c r="B12" s="1" t="s">
        <v>69</v>
      </c>
    </row>
    <row r="13" spans="1:2" ht="16.5">
      <c r="A13" s="1" t="s">
        <v>20</v>
      </c>
      <c r="B13" s="1" t="s">
        <v>70</v>
      </c>
    </row>
    <row r="14" spans="1:2" ht="16.5">
      <c r="A14" s="1" t="s">
        <v>21</v>
      </c>
      <c r="B14" s="1" t="s">
        <v>180</v>
      </c>
    </row>
    <row r="15" spans="1:2" ht="16.5">
      <c r="A15" s="1" t="s">
        <v>23</v>
      </c>
      <c r="B15" s="1" t="s">
        <v>181</v>
      </c>
    </row>
    <row r="16" spans="1:2" ht="16.5">
      <c r="A16" s="1" t="s">
        <v>72</v>
      </c>
      <c r="B16" s="1" t="s">
        <v>72</v>
      </c>
    </row>
    <row r="17" spans="1:2" ht="16.5">
      <c r="A17" s="1" t="s">
        <v>25</v>
      </c>
      <c r="B17" s="1" t="s">
        <v>183</v>
      </c>
    </row>
    <row r="18" spans="1:2" ht="16.5">
      <c r="A18" s="1" t="s">
        <v>26</v>
      </c>
      <c r="B18" s="1" t="s">
        <v>184</v>
      </c>
    </row>
    <row r="19" spans="1:2" ht="16.5">
      <c r="A19" s="1" t="s">
        <v>27</v>
      </c>
      <c r="B19" s="1" t="s">
        <v>75</v>
      </c>
    </row>
    <row r="20" spans="1:2" ht="16.5">
      <c r="A20" s="1" t="s">
        <v>28</v>
      </c>
      <c r="B20" s="1" t="s">
        <v>76</v>
      </c>
    </row>
    <row r="21" spans="1:2" ht="16.5">
      <c r="A21" s="1" t="s">
        <v>29</v>
      </c>
      <c r="B21" s="1" t="s">
        <v>77</v>
      </c>
    </row>
    <row r="22" spans="1:2" ht="16.5">
      <c r="A22" s="1" t="s">
        <v>30</v>
      </c>
      <c r="B22" s="1" t="s">
        <v>78</v>
      </c>
    </row>
    <row r="23" spans="1:2" ht="16.5">
      <c r="A23" s="1" t="s">
        <v>31</v>
      </c>
      <c r="B23" s="1" t="s">
        <v>79</v>
      </c>
    </row>
    <row r="24" spans="1:2" ht="16.5">
      <c r="A24" s="1" t="s">
        <v>32</v>
      </c>
      <c r="B24" s="1" t="s">
        <v>80</v>
      </c>
    </row>
    <row r="25" spans="1:2" ht="16.5">
      <c r="A25" s="1" t="s">
        <v>33</v>
      </c>
      <c r="B25" s="1" t="s">
        <v>61</v>
      </c>
    </row>
    <row r="26" spans="1:2" ht="16.5">
      <c r="A26" s="1" t="s">
        <v>34</v>
      </c>
      <c r="B26" s="1" t="s">
        <v>126</v>
      </c>
    </row>
    <row r="27" spans="1:2" ht="16.5">
      <c r="A27" s="1" t="s">
        <v>36</v>
      </c>
      <c r="B27" s="1" t="s">
        <v>81</v>
      </c>
    </row>
    <row r="28" spans="1:2" ht="16.5">
      <c r="A28" s="1" t="s">
        <v>38</v>
      </c>
      <c r="B28" s="1" t="s">
        <v>82</v>
      </c>
    </row>
    <row r="29" spans="1:2" ht="16.5">
      <c r="A29" s="1" t="s">
        <v>39</v>
      </c>
      <c r="B29" s="1" t="s">
        <v>136</v>
      </c>
    </row>
    <row r="30" spans="1:2" ht="16.5">
      <c r="A30" s="1" t="s">
        <v>40</v>
      </c>
      <c r="B30" s="1" t="s">
        <v>137</v>
      </c>
    </row>
    <row r="31" spans="1:2" ht="16.5">
      <c r="A31" s="1" t="s">
        <v>41</v>
      </c>
      <c r="B31" s="1" t="s">
        <v>140</v>
      </c>
    </row>
    <row r="32" spans="1:2" ht="16.5">
      <c r="A32" s="1" t="s">
        <v>44</v>
      </c>
      <c r="B32" s="1" t="s">
        <v>83</v>
      </c>
    </row>
    <row r="33" spans="1:2" ht="16.5">
      <c r="A33" s="1" t="s">
        <v>45</v>
      </c>
      <c r="B33" s="1" t="s">
        <v>84</v>
      </c>
    </row>
    <row r="34" spans="1:2" ht="16.5">
      <c r="A34" s="1" t="s">
        <v>46</v>
      </c>
      <c r="B34" s="1" t="s">
        <v>61</v>
      </c>
    </row>
    <row r="35" spans="1:2" ht="16.5">
      <c r="A35" s="1" t="s">
        <v>47</v>
      </c>
      <c r="B35" s="1" t="s">
        <v>85</v>
      </c>
    </row>
    <row r="36" spans="1:2" ht="16.5">
      <c r="A36" s="1" t="s">
        <v>49</v>
      </c>
      <c r="B36" s="1" t="s">
        <v>86</v>
      </c>
    </row>
    <row r="37" spans="1:2" ht="16.5">
      <c r="A37" s="1" t="s">
        <v>51</v>
      </c>
      <c r="B37" s="1" t="s">
        <v>87</v>
      </c>
    </row>
    <row r="38" spans="1:2" ht="16.5">
      <c r="A38" s="1" t="s">
        <v>53</v>
      </c>
      <c r="B38" s="1" t="s">
        <v>61</v>
      </c>
    </row>
    <row r="39" spans="1:2" ht="16.5">
      <c r="A39" s="1" t="s">
        <v>54</v>
      </c>
      <c r="B39" s="1" t="s">
        <v>88</v>
      </c>
    </row>
    <row r="40" spans="1:2" ht="16.5">
      <c r="A40" s="1" t="s">
        <v>56</v>
      </c>
      <c r="B40" s="1" t="s">
        <v>89</v>
      </c>
    </row>
    <row r="41" spans="1:2" ht="16.5">
      <c r="A41" s="1" t="s">
        <v>58</v>
      </c>
      <c r="B41" s="1" t="s">
        <v>90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赛尔号（填项目名）</vt:lpstr>
      <vt:lpstr>指标定义</vt:lpstr>
      <vt:lpstr>指标定义-旧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lynn</dc:creator>
  <cp:keywords>Month Report</cp:keywords>
  <dc:description/>
  <cp:lastModifiedBy>lynn</cp:lastModifiedBy>
  <dcterms:created xsi:type="dcterms:W3CDTF">2015-01-05T03:29:41Z</dcterms:created>
  <dcterms:modified xsi:type="dcterms:W3CDTF">2015-02-11T10:36:01Z</dcterms:modified>
  <cp:category/>
</cp:coreProperties>
</file>